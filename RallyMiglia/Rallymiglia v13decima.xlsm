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embeddings/oleObject1.bin" ContentType="application/vnd.openxmlformats-officedocument.oleObject"/>
  <Override PartName="/xl/activeX/activeX2.xml" ContentType="application/vnd.ms-office.activeX+xml"/>
  <Override PartName="/xl/activeX/activeX3.xml" ContentType="application/vnd.ms-office.activeX+xml"/>
  <Override PartName="/xl/activeX/activeX2.bin" ContentType="application/vnd.ms-office.activeX"/>
  <Override PartName="/xl/activeX/activeX4.xml" ContentType="application/vnd.ms-office.activeX+xml"/>
  <Override PartName="/xl/activeX/activeX3.bin" ContentType="application/vnd.ms-office.activeX"/>
  <Override PartName="/xl/activeX/activeX5.xml" ContentType="application/vnd.ms-office.activeX+xml"/>
  <Override PartName="/xl/activeX/activeX4.bin" ContentType="application/vnd.ms-office.activeX"/>
  <Override PartName="/xl/activeX/activeX6.xml" ContentType="application/vnd.ms-office.activeX+xml"/>
  <Override PartName="/xl/activeX/activeX5.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420" yWindow="570" windowWidth="11475" windowHeight="8190" activeTab="2"/>
  </bookViews>
  <sheets>
    <sheet name="TR bas" sheetId="71" r:id="rId1"/>
    <sheet name="REGISTRO" sheetId="70" r:id="rId2"/>
    <sheet name="Parametros" sheetId="69" r:id="rId3"/>
  </sheets>
  <functionGroups builtInGroupCount="17"/>
  <definedNames>
    <definedName name="_xlnm.Print_Area" localSheetId="2">Parametros!$A$1:$M$20</definedName>
    <definedName name="_xlnm.Print_Area" localSheetId="0">'TR bas'!$A$1:$W$9</definedName>
  </definedNames>
  <calcPr calcId="144525"/>
</workbook>
</file>

<file path=xl/calcChain.xml><?xml version="1.0" encoding="utf-8"?>
<calcChain xmlns="http://schemas.openxmlformats.org/spreadsheetml/2006/main">
  <c r="IP1" i="69" l="1"/>
  <c r="IP1" i="71"/>
  <c r="IP1" i="70"/>
  <c r="H4" i="71"/>
  <c r="V9" i="71"/>
  <c r="B1" i="71"/>
  <c r="H11" i="71"/>
  <c r="H8" i="71"/>
  <c r="I8" i="71"/>
  <c r="B9" i="71"/>
  <c r="H9" i="71"/>
  <c r="H10" i="71"/>
  <c r="C12" i="71"/>
  <c r="F12" i="71"/>
  <c r="G12" i="71"/>
  <c r="H12" i="71"/>
  <c r="I12" i="71"/>
  <c r="J8" i="71"/>
  <c r="H13" i="71"/>
  <c r="Q12" i="71"/>
  <c r="C13" i="71"/>
  <c r="F13" i="71"/>
  <c r="G13" i="71"/>
  <c r="I13" i="71"/>
  <c r="H14" i="71"/>
  <c r="Q13" i="71"/>
  <c r="C14" i="71"/>
  <c r="F14" i="71"/>
  <c r="G14" i="71"/>
  <c r="I14" i="71"/>
  <c r="H15" i="71"/>
  <c r="Q14" i="71"/>
  <c r="C15" i="71"/>
  <c r="F15" i="71"/>
  <c r="G15" i="71"/>
  <c r="I15" i="71"/>
  <c r="Q15" i="71"/>
  <c r="O8" i="71"/>
  <c r="O9" i="71"/>
  <c r="C10" i="71"/>
  <c r="I10" i="71" s="1"/>
  <c r="C9" i="71"/>
  <c r="I9" i="71" s="1"/>
  <c r="F10" i="71"/>
  <c r="G10" i="71"/>
  <c r="Q10" i="71"/>
  <c r="IN18" i="71"/>
  <c r="IO17" i="71"/>
  <c r="C11" i="71"/>
  <c r="I11" i="71" s="1"/>
  <c r="F11" i="71"/>
  <c r="G11" i="71"/>
  <c r="Q11" i="71"/>
  <c r="IL16" i="71"/>
  <c r="IL8" i="71"/>
  <c r="IL9" i="71"/>
  <c r="IL10" i="71"/>
  <c r="IL11" i="71"/>
  <c r="IL12" i="71"/>
  <c r="IL13" i="71"/>
  <c r="IL14" i="71"/>
  <c r="IL15" i="71"/>
  <c r="IL28" i="71"/>
  <c r="IL27" i="71"/>
  <c r="IL26" i="71"/>
  <c r="IL25" i="71"/>
  <c r="IL24" i="71"/>
  <c r="IL23" i="71"/>
  <c r="IL22" i="71"/>
  <c r="IL21" i="71"/>
  <c r="IL20" i="71"/>
  <c r="IL19" i="71"/>
  <c r="IL17" i="71"/>
  <c r="IL18" i="71"/>
  <c r="C19" i="69"/>
  <c r="C20" i="69"/>
  <c r="C21" i="69"/>
  <c r="C22" i="69"/>
  <c r="C23" i="69"/>
  <c r="C24" i="69"/>
  <c r="C25" i="69"/>
  <c r="C26" i="69"/>
  <c r="C27" i="69"/>
  <c r="C28" i="69"/>
  <c r="C29" i="69"/>
  <c r="C30" i="69"/>
  <c r="C31" i="69"/>
  <c r="C32" i="69"/>
  <c r="C33" i="69"/>
  <c r="C34" i="69"/>
  <c r="P8" i="71"/>
  <c r="M8" i="71"/>
  <c r="IO5" i="71"/>
  <c r="D2" i="71" s="1"/>
  <c r="R8" i="71"/>
  <c r="IN19" i="71"/>
  <c r="IN20" i="71"/>
  <c r="IN21" i="71"/>
  <c r="IN22" i="71"/>
  <c r="IN23" i="71"/>
  <c r="IN24" i="71"/>
  <c r="IN25" i="71"/>
  <c r="IN26" i="71"/>
  <c r="IN27" i="71"/>
  <c r="IN28" i="71"/>
  <c r="IN17" i="71"/>
  <c r="IN16" i="71"/>
  <c r="IN15" i="71"/>
  <c r="IN14" i="71"/>
  <c r="IN13" i="71"/>
  <c r="IN12" i="71"/>
  <c r="IN11" i="71"/>
  <c r="IN10" i="71"/>
  <c r="IN9" i="71"/>
  <c r="IN8" i="71"/>
  <c r="L7" i="71"/>
  <c r="L8" i="71"/>
  <c r="T20" i="71"/>
  <c r="T21" i="71"/>
  <c r="T22" i="71"/>
  <c r="T23" i="71"/>
  <c r="T24" i="71"/>
  <c r="T25" i="71"/>
  <c r="T26" i="71"/>
  <c r="T27" i="71"/>
  <c r="T28" i="71"/>
  <c r="T29" i="71"/>
  <c r="T30" i="71"/>
  <c r="T31" i="71"/>
  <c r="T32" i="71"/>
  <c r="T33" i="71"/>
  <c r="T34" i="71"/>
  <c r="T35" i="71"/>
  <c r="T36" i="71"/>
  <c r="T37" i="71"/>
  <c r="T38" i="71"/>
  <c r="T39" i="71"/>
  <c r="T40" i="71"/>
  <c r="T41" i="71"/>
  <c r="T42" i="71"/>
  <c r="T43" i="71"/>
  <c r="T44" i="71"/>
  <c r="T45" i="71"/>
  <c r="T46" i="71"/>
  <c r="T47" i="71"/>
  <c r="T48" i="71"/>
  <c r="T49" i="71"/>
  <c r="T50" i="71"/>
  <c r="T51" i="71"/>
  <c r="T52" i="71"/>
  <c r="T53" i="71"/>
  <c r="T54" i="71"/>
  <c r="T55" i="71"/>
  <c r="T56" i="71"/>
  <c r="T57" i="71"/>
  <c r="T58" i="71"/>
  <c r="T59" i="71"/>
  <c r="T60" i="71"/>
  <c r="T61" i="71"/>
  <c r="T62" i="71"/>
  <c r="T63" i="71"/>
  <c r="T64" i="71"/>
  <c r="T65" i="71"/>
  <c r="T66" i="71"/>
  <c r="T67" i="71"/>
  <c r="T68" i="71"/>
  <c r="T69" i="71"/>
  <c r="T70" i="71"/>
  <c r="T71" i="71"/>
  <c r="T72" i="71"/>
  <c r="T73" i="71"/>
  <c r="T74" i="71"/>
  <c r="T75" i="71"/>
  <c r="T76" i="71"/>
  <c r="T77" i="71"/>
  <c r="T78" i="71"/>
  <c r="T79" i="71"/>
  <c r="T80" i="71"/>
  <c r="T81" i="71"/>
  <c r="T82" i="71"/>
  <c r="T83" i="71"/>
  <c r="T84" i="71"/>
  <c r="T85" i="71"/>
  <c r="T86" i="71"/>
  <c r="T87" i="71"/>
  <c r="T88" i="71"/>
  <c r="T89" i="71"/>
  <c r="T90" i="71"/>
  <c r="T91" i="71"/>
  <c r="T92" i="71"/>
  <c r="T93" i="71"/>
  <c r="T94" i="71"/>
  <c r="T95" i="71"/>
  <c r="T96" i="71"/>
  <c r="T97" i="71"/>
  <c r="T98" i="71"/>
  <c r="T99" i="71"/>
  <c r="T100" i="71"/>
  <c r="T101" i="71"/>
  <c r="BH1" i="71"/>
  <c r="S1" i="71"/>
  <c r="C5" i="71"/>
  <c r="BH1" i="69"/>
  <c r="C4" i="71"/>
  <c r="BH1" i="70"/>
  <c r="K13" i="69"/>
  <c r="J13" i="69"/>
  <c r="I13" i="69"/>
  <c r="H13" i="69"/>
  <c r="G8" i="71"/>
  <c r="F8" i="71"/>
  <c r="G9" i="71"/>
  <c r="F9" i="71"/>
  <c r="Q8" i="71"/>
  <c r="Q9" i="71"/>
  <c r="BI1" i="71"/>
  <c r="K8" i="71"/>
  <c r="N8" i="71"/>
  <c r="N9" i="71"/>
  <c r="IV3" i="71" l="1"/>
  <c r="IV2" i="71"/>
  <c r="T8" i="71"/>
  <c r="T9" i="71"/>
  <c r="T10" i="71"/>
  <c r="T11" i="71"/>
  <c r="T12" i="71"/>
  <c r="T13" i="71"/>
  <c r="T14" i="71"/>
  <c r="T15" i="71"/>
  <c r="T16" i="71"/>
  <c r="T17" i="71"/>
  <c r="T18" i="71"/>
  <c r="T19" i="71"/>
  <c r="B10" i="71"/>
  <c r="J9" i="71"/>
  <c r="P9" i="71"/>
  <c r="M9" i="71"/>
  <c r="J10" i="71"/>
  <c r="K10" i="71" s="1"/>
  <c r="P10" i="71"/>
  <c r="R9" i="71" l="1"/>
  <c r="L9" i="71"/>
  <c r="K9" i="71"/>
  <c r="B11" i="71"/>
  <c r="O10" i="71"/>
  <c r="M10" i="71"/>
  <c r="L10" i="71" s="1"/>
  <c r="N10" i="71"/>
  <c r="R10" i="71"/>
  <c r="J11" i="71"/>
  <c r="IR1" i="71"/>
  <c r="C3" i="71"/>
  <c r="IV4" i="71"/>
  <c r="R3" i="71" s="1"/>
  <c r="R4" i="71"/>
  <c r="M4" i="71"/>
  <c r="J12" i="71" l="1"/>
  <c r="K11" i="71"/>
  <c r="B12" i="71"/>
  <c r="O11" i="71"/>
  <c r="M11" i="71"/>
  <c r="L11" i="71" s="1"/>
  <c r="N11" i="71"/>
  <c r="R11" i="71"/>
  <c r="P11" i="71"/>
  <c r="M12" i="71" l="1"/>
  <c r="L12" i="71" s="1"/>
  <c r="N12" i="71"/>
  <c r="O12" i="71"/>
  <c r="P12" i="71"/>
  <c r="R12" i="71"/>
  <c r="B13" i="71"/>
  <c r="K12" i="71"/>
  <c r="J13" i="71"/>
  <c r="K13" i="71" l="1"/>
  <c r="J14" i="71"/>
  <c r="M13" i="71"/>
  <c r="L13" i="71" s="1"/>
  <c r="N13" i="71"/>
  <c r="O13" i="71"/>
  <c r="P13" i="71"/>
  <c r="R13" i="71"/>
  <c r="B14" i="71"/>
  <c r="M14" i="71" l="1"/>
  <c r="L14" i="71" s="1"/>
  <c r="N14" i="71"/>
  <c r="O14" i="71"/>
  <c r="P14" i="71"/>
  <c r="R14" i="71"/>
  <c r="B15" i="71"/>
  <c r="K14" i="71"/>
  <c r="J15" i="71"/>
  <c r="K15" i="71" l="1"/>
  <c r="S2" i="71"/>
  <c r="M15" i="71"/>
  <c r="L15" i="71" s="1"/>
  <c r="N15" i="71"/>
  <c r="O15" i="71"/>
  <c r="I2" i="71" s="1"/>
  <c r="P15" i="71"/>
  <c r="S5" i="71" s="1"/>
  <c r="R15" i="71"/>
  <c r="E5" i="71"/>
  <c r="IS1" i="71"/>
  <c r="M5" i="71" l="1"/>
  <c r="C2" i="71"/>
  <c r="H5" i="71"/>
</calcChain>
</file>

<file path=xl/comments1.xml><?xml version="1.0" encoding="utf-8"?>
<comments xmlns="http://schemas.openxmlformats.org/spreadsheetml/2006/main">
  <authors>
    <author>.</author>
  </authors>
  <commentList>
    <comment ref="S6" authorId="0">
      <text>
        <r>
          <rPr>
            <b/>
            <sz val="10"/>
            <color indexed="81"/>
            <rFont val="Tahoma"/>
            <family val="2"/>
          </rPr>
          <t>En esta columna introduciremos los p.k  ( x,xx) de todos aquellos desvios de los que queramos recibir un aviso sonoro.
Podemos introducir tantos avisos sonoros como queramos, no obstante si introducimos demasiados es posible que nuestra capacidad de atención se sature y no los prestemos la suficiente atención.</t>
        </r>
      </text>
    </comment>
  </commentList>
</comments>
</file>

<file path=xl/sharedStrings.xml><?xml version="1.0" encoding="utf-8"?>
<sst xmlns="http://schemas.openxmlformats.org/spreadsheetml/2006/main" count="154" uniqueCount="112">
  <si>
    <t>17:52:33,1</t>
  </si>
  <si>
    <t>desfase</t>
  </si>
  <si>
    <t>tiempo parcial</t>
  </si>
  <si>
    <t>distancia</t>
  </si>
  <si>
    <t>acumulado</t>
  </si>
  <si>
    <t>media</t>
  </si>
  <si>
    <t>velocidad</t>
  </si>
  <si>
    <t>a recorrer</t>
  </si>
  <si>
    <t>pto</t>
  </si>
  <si>
    <t>nº</t>
  </si>
  <si>
    <t>por subtramo</t>
  </si>
  <si>
    <t>subtramo</t>
  </si>
  <si>
    <t>t restante</t>
  </si>
  <si>
    <t>subsector</t>
  </si>
  <si>
    <t>desde</t>
  </si>
  <si>
    <t>hasta</t>
  </si>
  <si>
    <t>tiempo total</t>
  </si>
  <si>
    <t>desvios</t>
  </si>
  <si>
    <t>p.k.</t>
  </si>
  <si>
    <t>avisocambio vel</t>
  </si>
  <si>
    <t>sin ajuste</t>
  </si>
  <si>
    <t xml:space="preserve">distancia </t>
  </si>
  <si>
    <t>con v ant</t>
  </si>
  <si>
    <t>velocidades</t>
  </si>
  <si>
    <t>+ 2 por mil</t>
  </si>
  <si>
    <t>+ 3 por mil</t>
  </si>
  <si>
    <t>+ 1 por mil</t>
  </si>
  <si>
    <t>km/h durante</t>
  </si>
  <si>
    <t>t parciales (mmssd)</t>
  </si>
  <si>
    <t>t acum (mmssd)</t>
  </si>
  <si>
    <t xml:space="preserve">hora fin </t>
  </si>
  <si>
    <t>no protegido</t>
  </si>
  <si>
    <t>protegido</t>
  </si>
  <si>
    <t>h.inicio</t>
  </si>
  <si>
    <t>Hora:</t>
  </si>
  <si>
    <t>Prox. desvío km:</t>
  </si>
  <si>
    <t>Puerto COM</t>
  </si>
  <si>
    <t>Tasa Refresco en [ms]</t>
  </si>
  <si>
    <t>decámetro</t>
  </si>
  <si>
    <t>decámetro/metro</t>
  </si>
  <si>
    <t>- 2 por mil</t>
  </si>
  <si>
    <t>- 3 por mil</t>
  </si>
  <si>
    <t>impulsos</t>
  </si>
  <si>
    <t>+</t>
  </si>
  <si>
    <t>tr1</t>
  </si>
  <si>
    <t>tr2</t>
  </si>
  <si>
    <t>calibración (m.)</t>
  </si>
  <si>
    <t>nº sensores</t>
  </si>
  <si>
    <t>V.Media</t>
  </si>
  <si>
    <t>-1 por mil</t>
  </si>
  <si>
    <t>REAL</t>
  </si>
  <si>
    <t>TEOR</t>
  </si>
  <si>
    <t>v media subtramo</t>
  </si>
  <si>
    <t>cond</t>
  </si>
  <si>
    <t>prox v.</t>
  </si>
  <si>
    <t>aviso</t>
  </si>
  <si>
    <t xml:space="preserve">tiempo </t>
  </si>
  <si>
    <t>preaviso desvio</t>
  </si>
  <si>
    <t>V.media tramo</t>
  </si>
  <si>
    <t>Tiempo invertido:</t>
  </si>
  <si>
    <t>Próxima velocidad (km/h):</t>
  </si>
  <si>
    <t>Total tramo :</t>
  </si>
  <si>
    <t>corrección fija  (m):</t>
  </si>
  <si>
    <t>1er parcial</t>
  </si>
  <si>
    <t>2º parcial</t>
  </si>
  <si>
    <t>V. media subtramo:</t>
  </si>
  <si>
    <t xml:space="preserve"> al metro</t>
  </si>
  <si>
    <t>tr3</t>
  </si>
  <si>
    <t>Salida Parque</t>
  </si>
  <si>
    <t>salida</t>
  </si>
  <si>
    <t>tr4</t>
  </si>
  <si>
    <t>tr5</t>
  </si>
  <si>
    <t>tr6</t>
  </si>
  <si>
    <t>tr7</t>
  </si>
  <si>
    <t>tr8</t>
  </si>
  <si>
    <t>tr9</t>
  </si>
  <si>
    <t>tr10</t>
  </si>
  <si>
    <t>horas salida</t>
  </si>
  <si>
    <t>tiempos a sumar</t>
  </si>
  <si>
    <t>salidas por tramo</t>
  </si>
  <si>
    <t>PC</t>
  </si>
  <si>
    <t>SIGMA</t>
  </si>
  <si>
    <t>TERRA</t>
  </si>
  <si>
    <t>BLUNIK</t>
  </si>
  <si>
    <t>Calibracion inicial</t>
  </si>
  <si>
    <t>Distancia organización</t>
  </si>
  <si>
    <t xml:space="preserve">Dta mostrada </t>
  </si>
  <si>
    <t xml:space="preserve">nueva calibracion </t>
  </si>
  <si>
    <t>CARNET DE RUTA</t>
  </si>
  <si>
    <t>odóm original</t>
  </si>
  <si>
    <t xml:space="preserve"> tiempo prev. para km </t>
  </si>
  <si>
    <t>fecha evento</t>
  </si>
  <si>
    <t>modo normal</t>
  </si>
  <si>
    <t>modo tabla</t>
  </si>
  <si>
    <t>teorico</t>
  </si>
  <si>
    <t>real</t>
  </si>
  <si>
    <t>tr11</t>
  </si>
  <si>
    <t>tr12</t>
  </si>
  <si>
    <t>tr13</t>
  </si>
  <si>
    <t>tr14</t>
  </si>
  <si>
    <t>tr15</t>
  </si>
  <si>
    <t xml:space="preserve">Calibración </t>
  </si>
  <si>
    <t>manual</t>
  </si>
  <si>
    <t>aut</t>
  </si>
  <si>
    <t>hh</t>
  </si>
  <si>
    <t>mm</t>
  </si>
  <si>
    <t>ss</t>
  </si>
  <si>
    <t xml:space="preserve"> </t>
  </si>
  <si>
    <t>10 53 57 57 13 10</t>
  </si>
  <si>
    <t>14/03/2012</t>
  </si>
  <si>
    <t>16:34:59,9</t>
  </si>
  <si>
    <t>17:46:41,0</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</si>
</sst>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 _€_-;\-* #,##0.00\ _€_-;_-* &quot;-&quot;??\ _€_-;_-@_-"/>
    <numFmt numFmtId="183" formatCode="0.000"/>
    <numFmt numFmtId="184" formatCode="h:mm:ss;@"/>
    <numFmt numFmtId="185" formatCode="0.0"/>
    <numFmt numFmtId="192" formatCode="h:mm:ss.0"/>
    <numFmt numFmtId="197" formatCode="0.0000"/>
    <numFmt numFmtId="219" formatCode="hh:mm:ss"/>
    <numFmt numFmtId="220" formatCode="00"/>
    <numFmt numFmtId="223" formatCode="#,##0.000"/>
    <numFmt numFmtId="224" formatCode="mm:ss;@"/>
    <numFmt numFmtId="225" formatCode="mm:ss\,d"/>
    <numFmt numFmtId="227" formatCode="_-* #,##0.000\ _€_-;\-* #,##0.000\ _€_-;_-* &quot;-&quot;??\ _€_-;_-@_-"/>
  </numFmts>
  <fonts count="59" x14ac:knownFonts="1">
    <font>
      <sz val="10"/>
      <name val="Arial"/>
    </font>
    <font>
      <sz val="10"/>
      <name val="Arial"/>
    </font>
    <font>
      <sz val="10"/>
      <color indexed="9"/>
      <name val="Arial"/>
      <family val="2"/>
    </font>
    <font>
      <b/>
      <sz val="20"/>
      <name val="Arial"/>
      <family val="2"/>
    </font>
    <font>
      <sz val="12"/>
      <name val="Arial"/>
      <family val="2"/>
    </font>
    <font>
      <b/>
      <sz val="10"/>
      <name val="Arial"/>
      <family val="2"/>
    </font>
    <font>
      <b/>
      <sz val="9"/>
      <name val="Arial"/>
      <family val="2"/>
    </font>
    <font>
      <b/>
      <sz val="12"/>
      <name val="Arial"/>
      <family val="2"/>
    </font>
    <font>
      <sz val="10"/>
      <name val="Arial"/>
      <family val="2"/>
    </font>
    <font>
      <b/>
      <sz val="16"/>
      <name val="Arial"/>
      <family val="2"/>
    </font>
    <font>
      <sz val="10"/>
      <color indexed="10"/>
      <name val="Arial"/>
      <family val="2"/>
    </font>
    <font>
      <b/>
      <sz val="14"/>
      <name val="Arial"/>
      <family val="2"/>
    </font>
    <font>
      <b/>
      <sz val="10"/>
      <color indexed="12"/>
      <name val="Arial"/>
      <family val="2"/>
    </font>
    <font>
      <b/>
      <sz val="48"/>
      <name val="Arial"/>
      <family val="2"/>
    </font>
    <font>
      <sz val="9"/>
      <color indexed="10"/>
      <name val="Arial"/>
      <family val="2"/>
    </font>
    <font>
      <b/>
      <sz val="11"/>
      <name val="Arial"/>
      <family val="2"/>
    </font>
    <font>
      <sz val="8"/>
      <name val="Arial"/>
      <family val="2"/>
    </font>
    <font>
      <b/>
      <sz val="36"/>
      <name val="Arial"/>
      <family val="2"/>
    </font>
    <font>
      <sz val="11"/>
      <color indexed="8"/>
      <name val="Calibri"/>
      <family val="2"/>
    </font>
    <font>
      <sz val="11"/>
      <color indexed="17"/>
      <name val="Calibri"/>
      <family val="2"/>
    </font>
    <font>
      <b/>
      <sz val="11"/>
      <color indexed="52"/>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sz val="8"/>
      <name val="Arial"/>
    </font>
    <font>
      <sz val="11"/>
      <color indexed="9"/>
      <name val="Calibri"/>
      <family val="2"/>
    </font>
    <font>
      <b/>
      <sz val="11"/>
      <color indexed="9"/>
      <name val="Calibri"/>
      <family val="2"/>
    </font>
    <font>
      <sz val="8"/>
      <name val="Calibri"/>
      <family val="2"/>
    </font>
    <font>
      <b/>
      <sz val="16"/>
      <color indexed="8"/>
      <name val="Candara"/>
      <family val="2"/>
    </font>
    <font>
      <b/>
      <sz val="16"/>
      <name val="Candara"/>
      <family val="2"/>
    </font>
    <font>
      <b/>
      <sz val="48"/>
      <color indexed="8"/>
      <name val="Candara"/>
      <family val="2"/>
    </font>
    <font>
      <b/>
      <sz val="14"/>
      <name val="Candara"/>
      <family val="2"/>
    </font>
    <font>
      <b/>
      <sz val="20"/>
      <name val="Calibri"/>
      <family val="2"/>
    </font>
    <font>
      <b/>
      <sz val="10"/>
      <color indexed="8"/>
      <name val="Arial"/>
      <family val="2"/>
    </font>
    <font>
      <b/>
      <sz val="16"/>
      <color indexed="8"/>
      <name val="Arial"/>
      <family val="2"/>
    </font>
    <font>
      <b/>
      <sz val="10"/>
      <color indexed="81"/>
      <name val="Tahoma"/>
      <family val="2"/>
    </font>
    <font>
      <sz val="24"/>
      <name val="Arial"/>
    </font>
    <font>
      <b/>
      <sz val="18"/>
      <name val="Arial"/>
      <family val="2"/>
    </font>
    <font>
      <sz val="20"/>
      <name val="Arial"/>
      <family val="2"/>
    </font>
    <font>
      <sz val="9"/>
      <name val="Arial"/>
    </font>
    <font>
      <b/>
      <sz val="40"/>
      <name val="Arial"/>
      <family val="2"/>
    </font>
    <font>
      <sz val="22"/>
      <name val="Arial"/>
      <family val="2"/>
    </font>
    <font>
      <b/>
      <sz val="22"/>
      <name val="Arial"/>
      <family val="2"/>
    </font>
    <font>
      <b/>
      <sz val="9"/>
      <color indexed="48"/>
      <name val="Arial"/>
      <family val="2"/>
    </font>
    <font>
      <b/>
      <sz val="10"/>
      <color indexed="48"/>
      <name val="Arial"/>
      <family val="2"/>
    </font>
    <font>
      <sz val="16"/>
      <name val="Arial"/>
      <family val="2"/>
    </font>
    <font>
      <sz val="14"/>
      <name val="Arial"/>
      <family val="2"/>
    </font>
    <font>
      <sz val="12"/>
      <color indexed="8"/>
      <name val="Arial"/>
      <family val="2"/>
    </font>
    <font>
      <sz val="12"/>
      <color indexed="8"/>
      <name val="Candara"/>
      <family val="2"/>
    </font>
    <font>
      <b/>
      <sz val="14"/>
      <color indexed="8"/>
      <name val="Arial"/>
      <family val="2"/>
    </font>
    <font>
      <b/>
      <sz val="18"/>
      <name val="Candara"/>
      <family val="2"/>
    </font>
    <font>
      <b/>
      <sz val="10"/>
      <color indexed="17"/>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22"/>
        <bgColor indexed="64"/>
      </patternFill>
    </fill>
    <fill>
      <patternFill patternType="solid">
        <fgColor indexed="41"/>
        <bgColor indexed="64"/>
      </patternFill>
    </fill>
    <fill>
      <patternFill patternType="solid">
        <fgColor indexed="43"/>
        <bgColor indexed="64"/>
      </patternFill>
    </fill>
    <fill>
      <patternFill patternType="solid">
        <fgColor indexed="11"/>
        <bgColor indexed="64"/>
      </patternFill>
    </fill>
    <fill>
      <patternFill patternType="solid">
        <fgColor indexed="44"/>
        <bgColor indexed="64"/>
      </patternFill>
    </fill>
    <fill>
      <patternFill patternType="solid">
        <fgColor indexed="9"/>
        <bgColor indexed="64"/>
      </patternFill>
    </fill>
    <fill>
      <patternFill patternType="solid">
        <fgColor indexed="46"/>
        <bgColor indexed="64"/>
      </patternFill>
    </fill>
    <fill>
      <patternFill patternType="solid">
        <fgColor indexed="13"/>
        <bgColor indexed="64"/>
      </patternFill>
    </fill>
  </fills>
  <borders count="9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medium">
        <color indexed="64"/>
      </left>
      <right/>
      <top/>
      <bottom/>
      <diagonal/>
    </border>
    <border>
      <left/>
      <right style="thick">
        <color indexed="64"/>
      </right>
      <top/>
      <bottom/>
      <diagonal/>
    </border>
    <border>
      <left/>
      <right style="thick">
        <color indexed="64"/>
      </right>
      <top style="thick">
        <color indexed="64"/>
      </top>
      <bottom style="thick">
        <color indexed="64"/>
      </bottom>
      <diagonal/>
    </border>
    <border>
      <left style="thick">
        <color indexed="64"/>
      </left>
      <right/>
      <top style="thick">
        <color indexed="64"/>
      </top>
      <bottom/>
      <diagonal/>
    </border>
    <border>
      <left style="medium">
        <color indexed="64"/>
      </left>
      <right style="medium">
        <color indexed="64"/>
      </right>
      <top/>
      <bottom/>
      <diagonal/>
    </border>
    <border>
      <left style="thin">
        <color indexed="64"/>
      </left>
      <right style="thin">
        <color indexed="64"/>
      </right>
      <top/>
      <bottom/>
      <diagonal/>
    </border>
    <border>
      <left style="thick">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ck">
        <color indexed="64"/>
      </top>
      <bottom style="thick">
        <color indexed="64"/>
      </bottom>
      <diagonal/>
    </border>
    <border>
      <left/>
      <right style="thick">
        <color indexed="64"/>
      </right>
      <top/>
      <bottom style="thick">
        <color indexed="64"/>
      </bottom>
      <diagonal/>
    </border>
    <border>
      <left style="medium">
        <color indexed="64"/>
      </left>
      <right style="thick">
        <color indexed="64"/>
      </right>
      <top style="thick">
        <color indexed="64"/>
      </top>
      <bottom/>
      <diagonal/>
    </border>
    <border>
      <left/>
      <right style="medium">
        <color indexed="64"/>
      </right>
      <top/>
      <bottom/>
      <diagonal/>
    </border>
    <border>
      <left style="thick">
        <color indexed="64"/>
      </left>
      <right/>
      <top/>
      <bottom style="thick">
        <color indexed="64"/>
      </bottom>
      <diagonal/>
    </border>
    <border>
      <left/>
      <right/>
      <top/>
      <bottom style="thick">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style="thick">
        <color indexed="64"/>
      </left>
      <right/>
      <top style="thick">
        <color indexed="64"/>
      </top>
      <bottom style="thick">
        <color indexed="64"/>
      </bottom>
      <diagonal/>
    </border>
    <border>
      <left/>
      <right/>
      <top style="medium">
        <color indexed="64"/>
      </top>
      <bottom style="thick">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Dashed">
        <color indexed="10"/>
      </bottom>
      <diagonal/>
    </border>
    <border>
      <left style="medium">
        <color indexed="64"/>
      </left>
      <right/>
      <top/>
      <bottom style="mediumDashed">
        <color indexed="10"/>
      </bottom>
      <diagonal/>
    </border>
    <border>
      <left/>
      <right style="medium">
        <color indexed="64"/>
      </right>
      <top/>
      <bottom style="mediumDashed">
        <color indexed="10"/>
      </bottom>
      <diagonal/>
    </border>
    <border>
      <left style="thin">
        <color indexed="64"/>
      </left>
      <right style="thin">
        <color indexed="64"/>
      </right>
      <top/>
      <bottom style="mediumDashed">
        <color indexed="10"/>
      </bottom>
      <diagonal/>
    </border>
    <border>
      <left style="medium">
        <color indexed="64"/>
      </left>
      <right style="thick">
        <color indexed="64"/>
      </right>
      <top/>
      <bottom style="mediumDashed">
        <color indexed="10"/>
      </bottom>
      <diagonal/>
    </border>
    <border>
      <left style="thick">
        <color indexed="64"/>
      </left>
      <right/>
      <top/>
      <bottom style="mediumDashed">
        <color indexed="10"/>
      </bottom>
      <diagonal/>
    </border>
    <border>
      <left/>
      <right/>
      <top/>
      <bottom style="mediumDashed">
        <color indexed="10"/>
      </bottom>
      <diagonal/>
    </border>
    <border>
      <left style="dashed">
        <color indexed="10"/>
      </left>
      <right/>
      <top style="thin">
        <color indexed="64"/>
      </top>
      <bottom/>
      <diagonal/>
    </border>
    <border>
      <left style="dashed">
        <color indexed="10"/>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bottom/>
      <diagonal/>
    </border>
    <border>
      <left style="double">
        <color indexed="64"/>
      </left>
      <right style="double">
        <color indexed="64"/>
      </right>
      <top/>
      <bottom/>
      <diagonal/>
    </border>
    <border>
      <left/>
      <right style="double">
        <color indexed="64"/>
      </right>
      <top/>
      <bottom/>
      <diagonal/>
    </border>
    <border>
      <left style="double">
        <color indexed="64"/>
      </left>
      <right/>
      <top/>
      <bottom style="double">
        <color indexed="64"/>
      </bottom>
      <diagonal/>
    </border>
    <border>
      <left style="double">
        <color indexed="64"/>
      </left>
      <right style="double">
        <color indexed="64"/>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ashed">
        <color indexed="10"/>
      </left>
      <right style="thin">
        <color indexed="64"/>
      </right>
      <top/>
      <bottom style="thin">
        <color indexed="64"/>
      </bottom>
      <diagonal/>
    </border>
    <border>
      <left style="dashed">
        <color indexed="10"/>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ck">
        <color indexed="64"/>
      </right>
      <top style="thick">
        <color indexed="64"/>
      </top>
      <bottom/>
      <diagonal/>
    </border>
    <border>
      <left/>
      <right style="medium">
        <color indexed="64"/>
      </right>
      <top style="medium">
        <color indexed="64"/>
      </top>
      <bottom style="medium">
        <color indexed="64"/>
      </bottom>
      <diagonal/>
    </border>
    <border>
      <left style="double">
        <color indexed="64"/>
      </left>
      <right style="double">
        <color indexed="64"/>
      </right>
      <top style="dotted">
        <color indexed="64"/>
      </top>
      <bottom style="dotted">
        <color indexed="64"/>
      </bottom>
      <diagonal/>
    </border>
    <border>
      <left style="double">
        <color indexed="64"/>
      </left>
      <right style="double">
        <color indexed="64"/>
      </right>
      <top/>
      <bottom style="thin">
        <color indexed="64"/>
      </bottom>
      <diagonal/>
    </border>
    <border>
      <left style="double">
        <color indexed="64"/>
      </left>
      <right style="double">
        <color indexed="64"/>
      </right>
      <top style="double">
        <color indexed="64"/>
      </top>
      <bottom/>
      <diagonal/>
    </border>
    <border>
      <left/>
      <right/>
      <top style="medium">
        <color indexed="64"/>
      </top>
      <bottom/>
      <diagonal/>
    </border>
    <border>
      <left/>
      <right style="thick">
        <color indexed="64"/>
      </right>
      <top style="medium">
        <color indexed="64"/>
      </top>
      <bottom/>
      <diagonal/>
    </border>
    <border>
      <left style="thick">
        <color indexed="64"/>
      </left>
      <right/>
      <top style="medium">
        <color indexed="64"/>
      </top>
      <bottom/>
      <diagonal/>
    </border>
    <border>
      <left style="thick">
        <color indexed="64"/>
      </left>
      <right/>
      <top style="medium">
        <color indexed="64"/>
      </top>
      <bottom style="thick">
        <color indexed="64"/>
      </bottom>
      <diagonal/>
    </border>
    <border>
      <left/>
      <right style="medium">
        <color indexed="64"/>
      </right>
      <top style="medium">
        <color indexed="64"/>
      </top>
      <bottom/>
      <diagonal/>
    </border>
    <border>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medium">
        <color indexed="64"/>
      </right>
      <top/>
      <bottom style="thick">
        <color indexed="64"/>
      </bottom>
      <diagonal/>
    </border>
    <border>
      <left style="thick">
        <color indexed="64"/>
      </left>
      <right style="thick">
        <color indexed="64"/>
      </right>
      <top style="thick">
        <color indexed="64"/>
      </top>
      <bottom style="thick">
        <color indexed="64"/>
      </bottom>
      <diagonal/>
    </border>
    <border>
      <left/>
      <right style="thick">
        <color indexed="64"/>
      </right>
      <top style="medium">
        <color indexed="64"/>
      </top>
      <bottom style="thick">
        <color indexed="64"/>
      </bottom>
      <diagonal/>
    </border>
    <border>
      <left/>
      <right style="thick">
        <color indexed="64"/>
      </right>
      <top style="medium">
        <color indexed="64"/>
      </top>
      <bottom style="medium">
        <color indexed="64"/>
      </bottom>
      <diagonal/>
    </border>
    <border>
      <left style="thin">
        <color indexed="64"/>
      </left>
      <right/>
      <top/>
      <bottom style="mediumDashed">
        <color indexed="10"/>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double">
        <color indexed="64"/>
      </left>
      <right/>
      <top style="dotted">
        <color indexed="64"/>
      </top>
      <bottom style="dotted">
        <color indexed="64"/>
      </bottom>
      <diagonal/>
    </border>
    <border>
      <left/>
      <right/>
      <top style="dotted">
        <color indexed="64"/>
      </top>
      <bottom style="dotted">
        <color indexed="64"/>
      </bottom>
      <diagonal/>
    </border>
    <border>
      <left/>
      <right style="double">
        <color indexed="64"/>
      </right>
      <top style="dotted">
        <color indexed="64"/>
      </top>
      <bottom style="dotted">
        <color indexed="64"/>
      </bottom>
      <diagonal/>
    </border>
    <border>
      <left style="double">
        <color indexed="64"/>
      </left>
      <right/>
      <top style="double">
        <color indexed="64"/>
      </top>
      <bottom/>
      <diagonal/>
    </border>
    <border>
      <left/>
      <right style="double">
        <color indexed="64"/>
      </right>
      <top style="double">
        <color indexed="64"/>
      </top>
      <bottom/>
      <diagonal/>
    </border>
  </borders>
  <cellStyleXfs count="43">
    <xf numFmtId="0" fontId="0"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5" borderId="0" applyNumberFormat="0" applyBorder="0" applyAlignment="0" applyProtection="0"/>
    <xf numFmtId="0" fontId="18" fillId="8" borderId="0" applyNumberFormat="0" applyBorder="0" applyAlignment="0" applyProtection="0"/>
    <xf numFmtId="0" fontId="18" fillId="11" borderId="0" applyNumberFormat="0" applyBorder="0" applyAlignment="0" applyProtection="0"/>
    <xf numFmtId="0" fontId="32" fillId="12" borderId="0" applyNumberFormat="0" applyBorder="0" applyAlignment="0" applyProtection="0"/>
    <xf numFmtId="0" fontId="32" fillId="9" borderId="0" applyNumberFormat="0" applyBorder="0" applyAlignment="0" applyProtection="0"/>
    <xf numFmtId="0" fontId="32" fillId="10" borderId="0" applyNumberFormat="0" applyBorder="0" applyAlignment="0" applyProtection="0"/>
    <xf numFmtId="0" fontId="32" fillId="13"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32" fillId="17" borderId="0" applyNumberFormat="0" applyBorder="0" applyAlignment="0" applyProtection="0"/>
    <xf numFmtId="0" fontId="32" fillId="18" borderId="0" applyNumberFormat="0" applyBorder="0" applyAlignment="0" applyProtection="0"/>
    <xf numFmtId="0" fontId="32" fillId="13" borderId="0" applyNumberFormat="0" applyBorder="0" applyAlignment="0" applyProtection="0"/>
    <xf numFmtId="0" fontId="32" fillId="14" borderId="0" applyNumberFormat="0" applyBorder="0" applyAlignment="0" applyProtection="0"/>
    <xf numFmtId="0" fontId="32" fillId="19" borderId="0" applyNumberFormat="0" applyBorder="0" applyAlignment="0" applyProtection="0"/>
    <xf numFmtId="0" fontId="24" fillId="3" borderId="0" applyNumberFormat="0" applyBorder="0" applyAlignment="0" applyProtection="0"/>
    <xf numFmtId="0" fontId="20" fillId="20" borderId="1" applyNumberFormat="0" applyAlignment="0" applyProtection="0"/>
    <xf numFmtId="0" fontId="33" fillId="21" borderId="2" applyNumberFormat="0" applyAlignment="0" applyProtection="0"/>
    <xf numFmtId="0" fontId="27" fillId="0" borderId="0" applyNumberFormat="0" applyFill="0" applyBorder="0" applyAlignment="0" applyProtection="0"/>
    <xf numFmtId="0" fontId="19" fillId="4" borderId="0" applyNumberFormat="0" applyBorder="0" applyAlignment="0" applyProtection="0"/>
    <xf numFmtId="0" fontId="29" fillId="0" borderId="4" applyNumberFormat="0" applyFill="0" applyAlignment="0" applyProtection="0"/>
    <xf numFmtId="0" fontId="30" fillId="0" borderId="5" applyNumberFormat="0" applyFill="0" applyAlignment="0" applyProtection="0"/>
    <xf numFmtId="0" fontId="22" fillId="0" borderId="6" applyNumberFormat="0" applyFill="0" applyAlignment="0" applyProtection="0"/>
    <xf numFmtId="0" fontId="22" fillId="0" borderId="0" applyNumberFormat="0" applyFill="0" applyBorder="0" applyAlignment="0" applyProtection="0"/>
    <xf numFmtId="0" fontId="23" fillId="7" borderId="1" applyNumberFormat="0" applyAlignment="0" applyProtection="0"/>
    <xf numFmtId="0" fontId="21" fillId="0" borderId="3" applyNumberFormat="0" applyFill="0" applyAlignment="0" applyProtection="0"/>
    <xf numFmtId="43" fontId="1" fillId="0" borderId="0" applyFont="0" applyFill="0" applyBorder="0" applyAlignment="0" applyProtection="0"/>
    <xf numFmtId="0" fontId="18" fillId="0" borderId="0"/>
    <xf numFmtId="0" fontId="18" fillId="0" borderId="0"/>
    <xf numFmtId="0" fontId="18" fillId="22" borderId="7" applyNumberFormat="0" applyFont="0" applyAlignment="0" applyProtection="0"/>
    <xf numFmtId="0" fontId="25" fillId="20" borderId="8" applyNumberFormat="0" applyAlignment="0" applyProtection="0"/>
    <xf numFmtId="0" fontId="28" fillId="0" borderId="0" applyNumberFormat="0" applyFill="0" applyBorder="0" applyAlignment="0" applyProtection="0"/>
    <xf numFmtId="0" fontId="26" fillId="0" borderId="0" applyNumberFormat="0" applyFill="0" applyBorder="0" applyAlignment="0" applyProtection="0"/>
  </cellStyleXfs>
  <cellXfs count="316">
    <xf numFmtId="0" fontId="0" fillId="0" borderId="0" xfId="0"/>
    <xf numFmtId="0" fontId="0" fillId="0" borderId="0" xfId="0" applyFill="1"/>
    <xf numFmtId="2" fontId="0" fillId="0" borderId="0" xfId="0" applyNumberFormat="1"/>
    <xf numFmtId="0" fontId="0" fillId="0" borderId="0" xfId="0" applyFill="1" applyBorder="1"/>
    <xf numFmtId="0" fontId="0" fillId="0" borderId="0" xfId="0" applyBorder="1"/>
    <xf numFmtId="185" fontId="0" fillId="0" borderId="0" xfId="0" applyNumberFormat="1" applyFill="1" applyBorder="1"/>
    <xf numFmtId="185" fontId="0" fillId="0" borderId="0" xfId="0" applyNumberFormat="1" applyBorder="1"/>
    <xf numFmtId="1" fontId="0" fillId="0" borderId="0" xfId="0" applyNumberFormat="1" applyBorder="1"/>
    <xf numFmtId="1" fontId="0" fillId="0" borderId="0" xfId="0" applyNumberFormat="1" applyFill="1" applyBorder="1"/>
    <xf numFmtId="1" fontId="5" fillId="0" borderId="0" xfId="0" applyNumberFormat="1" applyFont="1" applyFill="1" applyBorder="1"/>
    <xf numFmtId="183" fontId="5" fillId="0" borderId="0" xfId="0" applyNumberFormat="1" applyFont="1" applyFill="1" applyBorder="1" applyAlignment="1">
      <alignment horizontal="right"/>
    </xf>
    <xf numFmtId="183" fontId="0" fillId="0" borderId="0" xfId="0" applyNumberFormat="1" applyFill="1" applyBorder="1" applyAlignment="1">
      <alignment horizontal="right"/>
    </xf>
    <xf numFmtId="185" fontId="4" fillId="0" borderId="0" xfId="0" applyNumberFormat="1" applyFont="1" applyFill="1" applyBorder="1" applyAlignment="1">
      <alignment horizontal="right"/>
    </xf>
    <xf numFmtId="21" fontId="0" fillId="0" borderId="0" xfId="0" applyNumberFormat="1" applyFill="1" applyBorder="1" applyAlignment="1">
      <alignment horizontal="right"/>
    </xf>
    <xf numFmtId="183" fontId="0" fillId="0" borderId="0" xfId="0" applyNumberFormat="1" applyFill="1" applyBorder="1"/>
    <xf numFmtId="184" fontId="0" fillId="0" borderId="0" xfId="0" applyNumberFormat="1" applyFill="1" applyBorder="1" applyAlignment="1">
      <alignment horizontal="right"/>
    </xf>
    <xf numFmtId="2" fontId="5" fillId="0" borderId="0" xfId="0" applyNumberFormat="1" applyFont="1" applyFill="1" applyBorder="1" applyAlignment="1">
      <alignment horizontal="right"/>
    </xf>
    <xf numFmtId="184" fontId="0" fillId="0" borderId="0" xfId="0" applyNumberFormat="1" applyFill="1" applyBorder="1"/>
    <xf numFmtId="184" fontId="2" fillId="0" borderId="0" xfId="0" applyNumberFormat="1" applyFont="1" applyFill="1" applyBorder="1"/>
    <xf numFmtId="2" fontId="0" fillId="0" borderId="0" xfId="0" applyNumberFormat="1" applyFill="1" applyBorder="1"/>
    <xf numFmtId="22" fontId="0" fillId="0" borderId="0" xfId="0" applyNumberFormat="1"/>
    <xf numFmtId="2" fontId="0" fillId="0" borderId="0" xfId="0" applyNumberFormat="1" applyBorder="1"/>
    <xf numFmtId="0" fontId="0" fillId="0" borderId="9" xfId="0" applyBorder="1"/>
    <xf numFmtId="197" fontId="0" fillId="0" borderId="0" xfId="0" applyNumberFormat="1" applyBorder="1"/>
    <xf numFmtId="1" fontId="0" fillId="0" borderId="10" xfId="0" applyNumberFormat="1" applyBorder="1"/>
    <xf numFmtId="1" fontId="0" fillId="0" borderId="11" xfId="0" applyNumberFormat="1" applyBorder="1"/>
    <xf numFmtId="0" fontId="0" fillId="0" borderId="12" xfId="0" applyBorder="1"/>
    <xf numFmtId="0" fontId="0" fillId="0" borderId="13" xfId="0" applyBorder="1"/>
    <xf numFmtId="0" fontId="0" fillId="0" borderId="14" xfId="0" applyBorder="1"/>
    <xf numFmtId="0" fontId="5" fillId="0" borderId="0" xfId="0" applyFont="1" applyFill="1" applyBorder="1"/>
    <xf numFmtId="185" fontId="0" fillId="0" borderId="9" xfId="0" applyNumberFormat="1" applyBorder="1"/>
    <xf numFmtId="185" fontId="0" fillId="0" borderId="15" xfId="0" applyNumberFormat="1" applyBorder="1"/>
    <xf numFmtId="185" fontId="0" fillId="0" borderId="13" xfId="0" applyNumberFormat="1" applyFill="1" applyBorder="1"/>
    <xf numFmtId="185" fontId="0" fillId="0" borderId="16" xfId="0" applyNumberFormat="1" applyBorder="1"/>
    <xf numFmtId="185" fontId="0" fillId="0" borderId="14" xfId="0" applyNumberFormat="1" applyFill="1" applyBorder="1"/>
    <xf numFmtId="0" fontId="0" fillId="0" borderId="15" xfId="0" quotePrefix="1" applyBorder="1"/>
    <xf numFmtId="185" fontId="0" fillId="0" borderId="17" xfId="0" applyNumberFormat="1" applyBorder="1"/>
    <xf numFmtId="47" fontId="0" fillId="0" borderId="0" xfId="0" applyNumberFormat="1" applyFill="1" applyBorder="1" applyAlignment="1">
      <alignment horizontal="right"/>
    </xf>
    <xf numFmtId="192" fontId="0" fillId="0" borderId="0" xfId="0" applyNumberFormat="1" applyFill="1" applyBorder="1" applyAlignment="1">
      <alignment horizontal="right"/>
    </xf>
    <xf numFmtId="184" fontId="1" fillId="0" borderId="0" xfId="0" applyNumberFormat="1" applyFont="1" applyFill="1" applyBorder="1"/>
    <xf numFmtId="184" fontId="5" fillId="0" borderId="0" xfId="0" applyNumberFormat="1" applyFont="1" applyFill="1" applyBorder="1" applyAlignment="1"/>
    <xf numFmtId="184" fontId="9" fillId="0" borderId="0" xfId="0" applyNumberFormat="1" applyFont="1" applyFill="1" applyBorder="1" applyAlignment="1"/>
    <xf numFmtId="0" fontId="0" fillId="0" borderId="0" xfId="0" applyProtection="1"/>
    <xf numFmtId="2" fontId="17" fillId="23" borderId="18" xfId="0" applyNumberFormat="1" applyFont="1" applyFill="1" applyBorder="1" applyAlignment="1" applyProtection="1">
      <alignment horizontal="center" vertical="center"/>
    </xf>
    <xf numFmtId="192" fontId="15" fillId="24" borderId="19" xfId="0" applyNumberFormat="1" applyFont="1" applyFill="1" applyBorder="1" applyProtection="1"/>
    <xf numFmtId="184" fontId="9" fillId="0" borderId="0" xfId="0" applyNumberFormat="1" applyFont="1" applyFill="1" applyBorder="1" applyAlignment="1" applyProtection="1">
      <alignment horizontal="left"/>
    </xf>
    <xf numFmtId="0" fontId="0" fillId="24" borderId="20" xfId="0" applyFill="1" applyBorder="1" applyProtection="1"/>
    <xf numFmtId="0" fontId="6" fillId="25" borderId="21" xfId="0" applyFont="1" applyFill="1" applyBorder="1" applyAlignment="1" applyProtection="1">
      <alignment horizontal="center"/>
    </xf>
    <xf numFmtId="0" fontId="5" fillId="25" borderId="21" xfId="0" applyFont="1" applyFill="1" applyBorder="1" applyProtection="1"/>
    <xf numFmtId="0" fontId="6" fillId="0" borderId="22" xfId="0" applyFont="1" applyFill="1" applyBorder="1" applyAlignment="1" applyProtection="1">
      <alignment horizontal="center"/>
    </xf>
    <xf numFmtId="1" fontId="0" fillId="0" borderId="23" xfId="0" applyNumberFormat="1" applyFill="1" applyBorder="1" applyProtection="1"/>
    <xf numFmtId="0" fontId="0" fillId="0" borderId="0" xfId="0" applyFill="1" applyBorder="1" applyProtection="1"/>
    <xf numFmtId="185" fontId="4" fillId="0" borderId="24" xfId="0" applyNumberFormat="1" applyFont="1" applyFill="1" applyBorder="1" applyAlignment="1" applyProtection="1">
      <alignment horizontal="right"/>
    </xf>
    <xf numFmtId="47" fontId="0" fillId="0" borderId="24" xfId="0" applyNumberFormat="1" applyFill="1" applyBorder="1" applyAlignment="1" applyProtection="1">
      <alignment horizontal="right"/>
    </xf>
    <xf numFmtId="192" fontId="0" fillId="0" borderId="24" xfId="0" applyNumberFormat="1" applyFill="1" applyBorder="1" applyAlignment="1" applyProtection="1">
      <alignment horizontal="right"/>
    </xf>
    <xf numFmtId="184" fontId="0" fillId="0" borderId="24" xfId="0" applyNumberFormat="1" applyFill="1" applyBorder="1" applyAlignment="1" applyProtection="1">
      <alignment horizontal="right"/>
    </xf>
    <xf numFmtId="185" fontId="0" fillId="0" borderId="17" xfId="0" applyNumberFormat="1" applyBorder="1" applyProtection="1"/>
    <xf numFmtId="0" fontId="0" fillId="26" borderId="25" xfId="0" applyFill="1" applyBorder="1" applyProtection="1"/>
    <xf numFmtId="21" fontId="0" fillId="0" borderId="25" xfId="0" applyNumberFormat="1" applyFill="1" applyBorder="1" applyAlignment="1" applyProtection="1">
      <alignment horizontal="right"/>
    </xf>
    <xf numFmtId="183" fontId="0" fillId="0" borderId="25" xfId="0" applyNumberFormat="1" applyFill="1" applyBorder="1" applyProtection="1"/>
    <xf numFmtId="47" fontId="0" fillId="0" borderId="25" xfId="0" applyNumberFormat="1" applyFill="1" applyBorder="1" applyAlignment="1" applyProtection="1">
      <alignment horizontal="right"/>
    </xf>
    <xf numFmtId="192" fontId="0" fillId="0" borderId="25" xfId="0" applyNumberFormat="1" applyFill="1" applyBorder="1" applyAlignment="1" applyProtection="1">
      <alignment horizontal="right"/>
    </xf>
    <xf numFmtId="184" fontId="0" fillId="0" borderId="25" xfId="0" applyNumberFormat="1" applyFill="1" applyBorder="1" applyAlignment="1" applyProtection="1">
      <alignment horizontal="right"/>
    </xf>
    <xf numFmtId="0" fontId="0" fillId="0" borderId="0" xfId="0" applyBorder="1" applyProtection="1"/>
    <xf numFmtId="185" fontId="0" fillId="0" borderId="0" xfId="0" applyNumberFormat="1" applyFill="1" applyBorder="1" applyProtection="1"/>
    <xf numFmtId="0" fontId="0" fillId="0" borderId="0" xfId="0" applyProtection="1">
      <protection locked="0"/>
    </xf>
    <xf numFmtId="184" fontId="8" fillId="0" borderId="0" xfId="0" applyNumberFormat="1" applyFont="1" applyFill="1" applyBorder="1"/>
    <xf numFmtId="22" fontId="0" fillId="0" borderId="0" xfId="0" applyNumberFormat="1" applyProtection="1">
      <protection locked="0"/>
    </xf>
    <xf numFmtId="184" fontId="5" fillId="27" borderId="24" xfId="0" applyNumberFormat="1" applyFont="1" applyFill="1" applyBorder="1" applyAlignment="1" applyProtection="1">
      <alignment horizontal="right"/>
      <protection locked="0"/>
    </xf>
    <xf numFmtId="0" fontId="35" fillId="28" borderId="0" xfId="38" applyFont="1" applyFill="1"/>
    <xf numFmtId="22" fontId="35" fillId="28" borderId="0" xfId="38" applyNumberFormat="1" applyFont="1" applyFill="1"/>
    <xf numFmtId="0" fontId="35" fillId="28" borderId="0" xfId="38" applyFont="1" applyFill="1" applyAlignment="1">
      <alignment vertical="center"/>
    </xf>
    <xf numFmtId="0" fontId="18" fillId="0" borderId="0" xfId="38"/>
    <xf numFmtId="0" fontId="30" fillId="0" borderId="5" xfId="31"/>
    <xf numFmtId="0" fontId="18" fillId="0" borderId="0" xfId="38" applyAlignment="1">
      <alignment horizontal="center"/>
    </xf>
    <xf numFmtId="22" fontId="18" fillId="0" borderId="0" xfId="38" applyNumberFormat="1"/>
    <xf numFmtId="0" fontId="16" fillId="24" borderId="26" xfId="0" applyFont="1" applyFill="1" applyBorder="1" applyAlignment="1" applyProtection="1">
      <alignment horizontal="right" vertical="center" wrapText="1"/>
    </xf>
    <xf numFmtId="0" fontId="39" fillId="0" borderId="0" xfId="38" applyNumberFormat="1" applyFont="1" applyFill="1" applyBorder="1" applyAlignment="1">
      <alignment horizontal="center" vertical="center"/>
    </xf>
    <xf numFmtId="2" fontId="8" fillId="0" borderId="0" xfId="0" applyNumberFormat="1" applyFont="1" applyFill="1" applyBorder="1" applyProtection="1">
      <protection locked="0"/>
    </xf>
    <xf numFmtId="0" fontId="30" fillId="0" borderId="5" xfId="31" applyFont="1" applyAlignment="1">
      <alignment horizontal="center"/>
    </xf>
    <xf numFmtId="0" fontId="35" fillId="0" borderId="0" xfId="37" applyFont="1" applyFill="1"/>
    <xf numFmtId="0" fontId="36" fillId="29" borderId="27" xfId="38" applyFont="1" applyFill="1" applyBorder="1" applyAlignment="1">
      <alignment horizontal="center" vertical="center"/>
    </xf>
    <xf numFmtId="0" fontId="16" fillId="24" borderId="28" xfId="0" applyFont="1" applyFill="1" applyBorder="1" applyAlignment="1" applyProtection="1">
      <alignment horizontal="left" vertical="center" wrapText="1"/>
    </xf>
    <xf numFmtId="0" fontId="0" fillId="0" borderId="15" xfId="0" applyBorder="1"/>
    <xf numFmtId="0" fontId="0" fillId="0" borderId="16" xfId="0" applyBorder="1"/>
    <xf numFmtId="2" fontId="44" fillId="23" borderId="29" xfId="0" applyNumberFormat="1" applyFont="1" applyFill="1" applyBorder="1" applyAlignment="1" applyProtection="1">
      <alignment horizontal="center" vertical="center"/>
    </xf>
    <xf numFmtId="0" fontId="5" fillId="25" borderId="30" xfId="0" applyFont="1" applyFill="1" applyBorder="1" applyProtection="1"/>
    <xf numFmtId="0" fontId="5" fillId="25" borderId="31" xfId="0" applyFont="1" applyFill="1" applyBorder="1" applyAlignment="1" applyProtection="1">
      <alignment horizontal="center"/>
    </xf>
    <xf numFmtId="184" fontId="9" fillId="0" borderId="18" xfId="0" applyNumberFormat="1" applyFont="1" applyFill="1" applyBorder="1" applyAlignment="1" applyProtection="1">
      <alignment horizontal="left"/>
    </xf>
    <xf numFmtId="0" fontId="6" fillId="0" borderId="21" xfId="0" applyFont="1" applyFill="1" applyBorder="1" applyAlignment="1" applyProtection="1">
      <alignment horizontal="center"/>
    </xf>
    <xf numFmtId="0" fontId="6" fillId="0" borderId="17" xfId="0" applyFont="1" applyFill="1" applyBorder="1" applyAlignment="1" applyProtection="1">
      <alignment horizontal="center"/>
    </xf>
    <xf numFmtId="2" fontId="0" fillId="0" borderId="24" xfId="0" applyNumberFormat="1" applyFill="1" applyBorder="1" applyProtection="1"/>
    <xf numFmtId="184" fontId="1" fillId="0" borderId="24" xfId="0" applyNumberFormat="1" applyFont="1" applyFill="1" applyBorder="1" applyProtection="1"/>
    <xf numFmtId="1" fontId="0" fillId="0" borderId="24" xfId="0" applyNumberFormat="1" applyFill="1" applyBorder="1" applyProtection="1"/>
    <xf numFmtId="2" fontId="0" fillId="0" borderId="25" xfId="0" applyNumberFormat="1" applyFill="1" applyBorder="1" applyProtection="1"/>
    <xf numFmtId="184" fontId="1" fillId="0" borderId="25" xfId="0" applyNumberFormat="1" applyFont="1" applyFill="1" applyBorder="1" applyProtection="1"/>
    <xf numFmtId="183" fontId="0" fillId="0" borderId="24" xfId="0" applyNumberFormat="1" applyFill="1" applyBorder="1" applyAlignment="1" applyProtection="1">
      <alignment horizontal="right"/>
    </xf>
    <xf numFmtId="21" fontId="0" fillId="0" borderId="24" xfId="0" applyNumberFormat="1" applyFill="1" applyBorder="1" applyAlignment="1" applyProtection="1">
      <alignment horizontal="right"/>
    </xf>
    <xf numFmtId="183" fontId="0" fillId="0" borderId="25" xfId="0" applyNumberFormat="1" applyFill="1" applyBorder="1" applyAlignment="1" applyProtection="1">
      <alignment horizontal="right"/>
    </xf>
    <xf numFmtId="2" fontId="17" fillId="0" borderId="0" xfId="0" applyNumberFormat="1" applyFont="1" applyFill="1" applyBorder="1" applyAlignment="1" applyProtection="1">
      <alignment horizontal="center" vertical="center"/>
    </xf>
    <xf numFmtId="2" fontId="13" fillId="0" borderId="0" xfId="0" applyNumberFormat="1" applyFont="1" applyFill="1" applyBorder="1" applyAlignment="1" applyProtection="1">
      <alignment vertical="center"/>
    </xf>
    <xf numFmtId="183" fontId="6" fillId="0" borderId="21" xfId="0" applyNumberFormat="1" applyFont="1" applyFill="1" applyBorder="1" applyAlignment="1" applyProtection="1">
      <alignment horizontal="center"/>
    </xf>
    <xf numFmtId="0" fontId="5" fillId="0" borderId="17" xfId="0" applyFont="1" applyFill="1" applyBorder="1" applyProtection="1"/>
    <xf numFmtId="0" fontId="5" fillId="0" borderId="31" xfId="0" applyFont="1" applyFill="1" applyBorder="1" applyProtection="1"/>
    <xf numFmtId="0" fontId="0" fillId="0" borderId="18" xfId="0" applyFill="1" applyBorder="1" applyProtection="1">
      <protection locked="0"/>
    </xf>
    <xf numFmtId="0" fontId="5" fillId="24" borderId="20" xfId="0" applyFont="1" applyFill="1" applyBorder="1" applyAlignment="1" applyProtection="1">
      <alignment horizontal="left" vertical="center" wrapText="1"/>
    </xf>
    <xf numFmtId="0" fontId="0" fillId="24" borderId="32" xfId="0" applyFill="1" applyBorder="1" applyProtection="1"/>
    <xf numFmtId="1" fontId="3" fillId="24" borderId="33" xfId="0" applyNumberFormat="1" applyFont="1" applyFill="1" applyBorder="1" applyAlignment="1" applyProtection="1">
      <alignment horizontal="left"/>
    </xf>
    <xf numFmtId="0" fontId="35" fillId="0" borderId="0" xfId="37" applyFont="1" applyFill="1" applyBorder="1"/>
    <xf numFmtId="0" fontId="41" fillId="0" borderId="0" xfId="37" applyFont="1" applyFill="1" applyBorder="1" applyAlignment="1">
      <alignment horizontal="center"/>
    </xf>
    <xf numFmtId="0" fontId="46" fillId="24" borderId="33" xfId="0" applyFont="1" applyFill="1" applyBorder="1" applyProtection="1"/>
    <xf numFmtId="0" fontId="0" fillId="0" borderId="23" xfId="0" applyFill="1" applyBorder="1" applyAlignment="1" applyProtection="1">
      <alignment horizontal="center"/>
    </xf>
    <xf numFmtId="0" fontId="0" fillId="0" borderId="9" xfId="0" quotePrefix="1" applyBorder="1"/>
    <xf numFmtId="0" fontId="0" fillId="0" borderId="10" xfId="0" applyBorder="1"/>
    <xf numFmtId="2" fontId="8" fillId="0" borderId="34" xfId="0" applyNumberFormat="1" applyFont="1" applyFill="1" applyBorder="1" applyProtection="1">
      <protection locked="0"/>
    </xf>
    <xf numFmtId="21" fontId="8" fillId="0" borderId="34" xfId="0" applyNumberFormat="1" applyFont="1" applyFill="1" applyBorder="1" applyProtection="1">
      <protection locked="0"/>
    </xf>
    <xf numFmtId="21" fontId="0" fillId="0" borderId="34" xfId="0" applyNumberFormat="1" applyBorder="1" applyProtection="1">
      <protection locked="0"/>
    </xf>
    <xf numFmtId="2" fontId="0" fillId="0" borderId="35" xfId="0" applyNumberFormat="1" applyFill="1" applyBorder="1" applyProtection="1">
      <protection locked="0"/>
    </xf>
    <xf numFmtId="21" fontId="5" fillId="0" borderId="25" xfId="0" applyNumberFormat="1" applyFont="1" applyFill="1" applyBorder="1" applyProtection="1"/>
    <xf numFmtId="0" fontId="3" fillId="24" borderId="36" xfId="0" applyFont="1" applyFill="1" applyBorder="1" applyAlignment="1" applyProtection="1">
      <alignment horizontal="left"/>
    </xf>
    <xf numFmtId="0" fontId="5" fillId="24" borderId="37" xfId="0" applyFont="1" applyFill="1" applyBorder="1" applyAlignment="1" applyProtection="1">
      <alignment horizontal="left" vertical="center" wrapText="1"/>
    </xf>
    <xf numFmtId="2" fontId="9" fillId="24" borderId="38" xfId="0" applyNumberFormat="1" applyFont="1" applyFill="1" applyBorder="1" applyAlignment="1" applyProtection="1">
      <alignment horizontal="center" vertical="center"/>
    </xf>
    <xf numFmtId="2" fontId="44" fillId="23" borderId="18" xfId="0" applyNumberFormat="1" applyFont="1" applyFill="1" applyBorder="1" applyAlignment="1" applyProtection="1">
      <alignment horizontal="center" vertical="center"/>
    </xf>
    <xf numFmtId="2" fontId="8" fillId="0" borderId="39" xfId="0" applyNumberFormat="1" applyFont="1" applyFill="1" applyBorder="1" applyProtection="1"/>
    <xf numFmtId="183" fontId="5" fillId="0" borderId="0" xfId="0" applyNumberFormat="1" applyFont="1" applyFill="1" applyBorder="1" applyAlignment="1" applyProtection="1"/>
    <xf numFmtId="0" fontId="11" fillId="0" borderId="28" xfId="0" applyFont="1" applyFill="1" applyBorder="1" applyAlignment="1" applyProtection="1"/>
    <xf numFmtId="0" fontId="48" fillId="0" borderId="28" xfId="0" applyFont="1" applyBorder="1" applyAlignment="1" applyProtection="1">
      <alignment horizontal="left"/>
    </xf>
    <xf numFmtId="0" fontId="48" fillId="0" borderId="28" xfId="0" applyFont="1" applyBorder="1" applyAlignment="1" applyProtection="1">
      <alignment horizontal="left"/>
      <protection locked="0"/>
    </xf>
    <xf numFmtId="0" fontId="8" fillId="0" borderId="23" xfId="0" applyFont="1" applyFill="1" applyBorder="1" applyProtection="1"/>
    <xf numFmtId="0" fontId="8" fillId="0" borderId="18" xfId="0" applyFont="1" applyFill="1" applyBorder="1" applyProtection="1"/>
    <xf numFmtId="2" fontId="5" fillId="24" borderId="32" xfId="0" applyNumberFormat="1" applyFont="1" applyFill="1" applyBorder="1" applyAlignment="1" applyProtection="1">
      <alignment horizontal="right"/>
    </xf>
    <xf numFmtId="0" fontId="43" fillId="24" borderId="33" xfId="0" applyFont="1" applyFill="1" applyBorder="1" applyProtection="1"/>
    <xf numFmtId="0" fontId="0" fillId="0" borderId="32" xfId="0" applyFill="1" applyBorder="1" applyAlignment="1" applyProtection="1">
      <alignment horizontal="right"/>
    </xf>
    <xf numFmtId="0" fontId="0" fillId="0" borderId="33" xfId="0" applyFill="1" applyBorder="1" applyAlignment="1" applyProtection="1">
      <alignment horizontal="right"/>
    </xf>
    <xf numFmtId="0" fontId="0" fillId="0" borderId="29" xfId="0" applyFill="1" applyBorder="1" applyAlignment="1" applyProtection="1">
      <alignment horizontal="right"/>
      <protection locked="0"/>
    </xf>
    <xf numFmtId="0" fontId="10" fillId="0" borderId="9" xfId="0" applyFont="1" applyBorder="1"/>
    <xf numFmtId="0" fontId="0" fillId="0" borderId="12" xfId="0" applyBorder="1" applyProtection="1">
      <protection locked="0"/>
    </xf>
    <xf numFmtId="1" fontId="0" fillId="0" borderId="12" xfId="0" applyNumberFormat="1" applyFill="1" applyBorder="1"/>
    <xf numFmtId="0" fontId="6" fillId="25" borderId="21" xfId="0" applyFont="1" applyFill="1" applyBorder="1" applyAlignment="1" applyProtection="1">
      <alignment horizontal="center" wrapText="1"/>
    </xf>
    <xf numFmtId="1" fontId="5" fillId="0" borderId="21" xfId="0" applyNumberFormat="1" applyFont="1" applyFill="1" applyBorder="1" applyAlignment="1" applyProtection="1">
      <alignment horizontal="center"/>
      <protection locked="0"/>
    </xf>
    <xf numFmtId="0" fontId="10" fillId="0" borderId="16" xfId="0" applyFont="1" applyBorder="1"/>
    <xf numFmtId="0" fontId="0" fillId="0" borderId="14" xfId="0" applyBorder="1" applyProtection="1">
      <protection locked="0"/>
    </xf>
    <xf numFmtId="0" fontId="6" fillId="25" borderId="40" xfId="0" applyFont="1" applyFill="1" applyBorder="1" applyAlignment="1" applyProtection="1">
      <alignment horizontal="center"/>
    </xf>
    <xf numFmtId="0" fontId="6" fillId="25" borderId="40" xfId="0" applyFont="1" applyFill="1" applyBorder="1" applyAlignment="1" applyProtection="1">
      <alignment horizontal="center" vertical="center" wrapText="1"/>
    </xf>
    <xf numFmtId="0" fontId="5" fillId="25" borderId="41" xfId="0" applyFont="1" applyFill="1" applyBorder="1" applyProtection="1"/>
    <xf numFmtId="0" fontId="5" fillId="0" borderId="41" xfId="0" applyFont="1" applyFill="1" applyBorder="1" applyProtection="1"/>
    <xf numFmtId="0" fontId="5" fillId="0" borderId="42" xfId="0" applyFont="1" applyFill="1" applyBorder="1" applyProtection="1"/>
    <xf numFmtId="0" fontId="6" fillId="0" borderId="40" xfId="0" applyFont="1" applyFill="1" applyBorder="1" applyAlignment="1" applyProtection="1">
      <alignment horizontal="center"/>
    </xf>
    <xf numFmtId="21" fontId="14" fillId="0" borderId="40" xfId="0" applyNumberFormat="1" applyFont="1" applyFill="1" applyBorder="1" applyAlignment="1" applyProtection="1">
      <alignment horizontal="center"/>
    </xf>
    <xf numFmtId="0" fontId="6" fillId="0" borderId="41" xfId="0" applyFont="1" applyFill="1" applyBorder="1" applyAlignment="1" applyProtection="1">
      <alignment horizontal="center"/>
    </xf>
    <xf numFmtId="0" fontId="6" fillId="0" borderId="43" xfId="0" applyFont="1" applyFill="1" applyBorder="1" applyAlignment="1" applyProtection="1">
      <alignment horizontal="center"/>
    </xf>
    <xf numFmtId="0" fontId="5" fillId="0" borderId="40" xfId="0" applyFont="1" applyFill="1" applyBorder="1" applyAlignment="1" applyProtection="1">
      <alignment horizontal="center"/>
      <protection locked="0"/>
    </xf>
    <xf numFmtId="185" fontId="5" fillId="25" borderId="44" xfId="0" applyNumberFormat="1" applyFont="1" applyFill="1" applyBorder="1" applyProtection="1"/>
    <xf numFmtId="0" fontId="5" fillId="25" borderId="42" xfId="0" applyFont="1" applyFill="1" applyBorder="1" applyAlignment="1" applyProtection="1">
      <alignment horizontal="center"/>
    </xf>
    <xf numFmtId="0" fontId="0" fillId="0" borderId="45" xfId="0" applyFill="1" applyBorder="1" applyProtection="1"/>
    <xf numFmtId="0" fontId="0" fillId="24" borderId="46" xfId="0" applyFill="1" applyBorder="1" applyProtection="1"/>
    <xf numFmtId="0" fontId="0" fillId="26" borderId="24" xfId="0" applyFill="1" applyBorder="1" applyProtection="1"/>
    <xf numFmtId="183" fontId="8" fillId="27" borderId="24" xfId="0" applyNumberFormat="1" applyFont="1" applyFill="1" applyBorder="1" applyProtection="1"/>
    <xf numFmtId="46" fontId="8" fillId="0" borderId="24" xfId="0" applyNumberFormat="1" applyFont="1" applyFill="1" applyBorder="1" applyAlignment="1" applyProtection="1">
      <alignment vertical="center"/>
    </xf>
    <xf numFmtId="1" fontId="0" fillId="0" borderId="24" xfId="0" applyNumberFormat="1" applyFill="1" applyBorder="1" applyProtection="1">
      <protection locked="0"/>
    </xf>
    <xf numFmtId="185" fontId="8" fillId="0" borderId="16" xfId="0" applyNumberFormat="1" applyFont="1" applyBorder="1" applyAlignment="1" applyProtection="1">
      <alignment horizontal="center"/>
    </xf>
    <xf numFmtId="183" fontId="0" fillId="0" borderId="10" xfId="0" applyNumberFormat="1" applyBorder="1"/>
    <xf numFmtId="46" fontId="8" fillId="0" borderId="25" xfId="0" applyNumberFormat="1" applyFont="1" applyFill="1" applyBorder="1" applyAlignment="1" applyProtection="1">
      <alignment vertical="center"/>
    </xf>
    <xf numFmtId="183" fontId="0" fillId="0" borderId="15" xfId="0" quotePrefix="1" applyNumberFormat="1" applyBorder="1" applyAlignment="1">
      <alignment horizontal="left"/>
    </xf>
    <xf numFmtId="183" fontId="0" fillId="0" borderId="0" xfId="0" applyNumberFormat="1" applyBorder="1"/>
    <xf numFmtId="197" fontId="16" fillId="0" borderId="13" xfId="0" applyNumberFormat="1" applyFont="1" applyBorder="1"/>
    <xf numFmtId="185" fontId="0" fillId="0" borderId="47" xfId="0" applyNumberFormat="1" applyFill="1" applyBorder="1" applyProtection="1"/>
    <xf numFmtId="185" fontId="0" fillId="0" borderId="48" xfId="0" applyNumberFormat="1" applyFill="1" applyBorder="1" applyProtection="1"/>
    <xf numFmtId="185" fontId="0" fillId="0" borderId="48" xfId="0" applyNumberFormat="1" applyFill="1" applyBorder="1"/>
    <xf numFmtId="46" fontId="8" fillId="0" borderId="0" xfId="0" applyNumberFormat="1" applyFont="1" applyFill="1" applyBorder="1" applyAlignment="1">
      <alignment vertical="center"/>
    </xf>
    <xf numFmtId="184" fontId="0" fillId="0" borderId="0" xfId="0" applyNumberFormat="1" applyFill="1" applyBorder="1" applyProtection="1">
      <protection locked="0"/>
    </xf>
    <xf numFmtId="184" fontId="8" fillId="0" borderId="10" xfId="0" applyNumberFormat="1" applyFont="1" applyFill="1" applyBorder="1"/>
    <xf numFmtId="183" fontId="5" fillId="0" borderId="15" xfId="0" applyNumberFormat="1" applyFont="1" applyBorder="1"/>
    <xf numFmtId="0" fontId="0" fillId="0" borderId="11" xfId="0" applyBorder="1"/>
    <xf numFmtId="183" fontId="0" fillId="0" borderId="11" xfId="0" applyNumberFormat="1" applyBorder="1"/>
    <xf numFmtId="0" fontId="38" fillId="0" borderId="0" xfId="30" applyFont="1" applyFill="1" applyBorder="1" applyAlignment="1">
      <alignment horizontal="center" vertical="center"/>
    </xf>
    <xf numFmtId="0" fontId="39" fillId="0" borderId="0" xfId="38" applyNumberFormat="1" applyFont="1" applyFill="1" applyBorder="1" applyAlignment="1">
      <alignment horizontal="center" vertical="center" wrapText="1"/>
    </xf>
    <xf numFmtId="0" fontId="9" fillId="0" borderId="27" xfId="0" applyFont="1" applyBorder="1" applyAlignment="1" applyProtection="1">
      <alignment horizontal="center"/>
    </xf>
    <xf numFmtId="0" fontId="53" fillId="24" borderId="37" xfId="0" applyFont="1" applyFill="1" applyBorder="1" applyAlignment="1" applyProtection="1">
      <alignment horizontal="left" vertical="center"/>
    </xf>
    <xf numFmtId="0" fontId="53" fillId="24" borderId="37" xfId="0" quotePrefix="1" applyFont="1" applyFill="1" applyBorder="1" applyAlignment="1" applyProtection="1">
      <alignment vertical="center"/>
    </xf>
    <xf numFmtId="2" fontId="9" fillId="24" borderId="28" xfId="0" applyNumberFormat="1" applyFont="1" applyFill="1" applyBorder="1" applyAlignment="1" applyProtection="1">
      <alignment horizontal="left"/>
    </xf>
    <xf numFmtId="0" fontId="16" fillId="24" borderId="32" xfId="0" applyFont="1" applyFill="1" applyBorder="1" applyAlignment="1" applyProtection="1"/>
    <xf numFmtId="183" fontId="40" fillId="0" borderId="0" xfId="37" applyNumberFormat="1" applyFont="1" applyFill="1" applyBorder="1"/>
    <xf numFmtId="0" fontId="9" fillId="29" borderId="27" xfId="0" applyFont="1" applyFill="1" applyBorder="1" applyAlignment="1" applyProtection="1">
      <alignment horizontal="center"/>
    </xf>
    <xf numFmtId="21" fontId="35" fillId="25" borderId="27" xfId="38" applyNumberFormat="1" applyFont="1" applyFill="1" applyBorder="1"/>
    <xf numFmtId="220" fontId="52" fillId="0" borderId="27" xfId="0" quotePrefix="1" applyNumberFormat="1" applyFont="1" applyFill="1" applyBorder="1" applyAlignment="1" applyProtection="1">
      <alignment horizontal="center"/>
    </xf>
    <xf numFmtId="0" fontId="35" fillId="28" borderId="49" xfId="38" applyFont="1" applyFill="1" applyBorder="1" applyAlignment="1">
      <alignment horizontal="center"/>
    </xf>
    <xf numFmtId="0" fontId="35" fillId="28" borderId="50" xfId="38" applyFont="1" applyFill="1" applyBorder="1" applyAlignment="1">
      <alignment horizontal="center"/>
    </xf>
    <xf numFmtId="0" fontId="35" fillId="28" borderId="51" xfId="38" applyFont="1" applyFill="1" applyBorder="1" applyAlignment="1">
      <alignment horizontal="center"/>
    </xf>
    <xf numFmtId="219" fontId="11" fillId="0" borderId="0" xfId="0" applyNumberFormat="1" applyFont="1" applyFill="1" applyBorder="1" applyAlignment="1" applyProtection="1">
      <alignment horizontal="right"/>
    </xf>
    <xf numFmtId="219" fontId="7" fillId="0" borderId="0" xfId="0" quotePrefix="1" applyNumberFormat="1" applyFont="1" applyFill="1" applyBorder="1" applyAlignment="1" applyProtection="1">
      <alignment horizontal="center"/>
    </xf>
    <xf numFmtId="1" fontId="52" fillId="0" borderId="0" xfId="0" applyNumberFormat="1" applyFont="1" applyFill="1" applyBorder="1" applyAlignment="1" applyProtection="1">
      <alignment horizontal="right"/>
    </xf>
    <xf numFmtId="0" fontId="54" fillId="28" borderId="0" xfId="38" applyFont="1" applyFill="1"/>
    <xf numFmtId="0" fontId="55" fillId="28" borderId="0" xfId="38" applyFont="1" applyFill="1"/>
    <xf numFmtId="0" fontId="5" fillId="29" borderId="52" xfId="0" applyFont="1" applyFill="1" applyBorder="1"/>
    <xf numFmtId="0" fontId="5" fillId="29" borderId="53" xfId="0" applyFont="1" applyFill="1" applyBorder="1" applyAlignment="1">
      <alignment horizontal="center"/>
    </xf>
    <xf numFmtId="0" fontId="0" fillId="0" borderId="54" xfId="0" applyBorder="1"/>
    <xf numFmtId="0" fontId="0" fillId="0" borderId="55" xfId="0" applyBorder="1"/>
    <xf numFmtId="0" fontId="11" fillId="27" borderId="0" xfId="0" applyFont="1" applyFill="1" applyBorder="1" applyAlignment="1">
      <alignment horizontal="right"/>
    </xf>
    <xf numFmtId="0" fontId="11" fillId="27" borderId="56" xfId="0" applyFont="1" applyFill="1" applyBorder="1" applyAlignment="1">
      <alignment horizontal="right"/>
    </xf>
    <xf numFmtId="183" fontId="0" fillId="0" borderId="56" xfId="0" applyNumberFormat="1" applyFill="1" applyBorder="1"/>
    <xf numFmtId="183" fontId="11" fillId="27" borderId="0" xfId="0" applyNumberFormat="1" applyFont="1" applyFill="1" applyBorder="1" applyAlignment="1">
      <alignment horizontal="right"/>
    </xf>
    <xf numFmtId="183" fontId="11" fillId="27" borderId="56" xfId="0" applyNumberFormat="1" applyFont="1" applyFill="1" applyBorder="1" applyAlignment="1">
      <alignment horizontal="right"/>
    </xf>
    <xf numFmtId="0" fontId="0" fillId="0" borderId="56" xfId="0" applyBorder="1"/>
    <xf numFmtId="0" fontId="0" fillId="0" borderId="57" xfId="0" applyBorder="1"/>
    <xf numFmtId="0" fontId="0" fillId="0" borderId="58" xfId="0" applyBorder="1"/>
    <xf numFmtId="0" fontId="35" fillId="0" borderId="0" xfId="38" applyFont="1" applyFill="1" applyBorder="1" applyAlignment="1">
      <alignment horizontal="center"/>
    </xf>
    <xf numFmtId="0" fontId="35" fillId="28" borderId="0" xfId="38" applyFont="1" applyFill="1" applyBorder="1"/>
    <xf numFmtId="183" fontId="9" fillId="25" borderId="59" xfId="0" applyNumberFormat="1" applyFont="1" applyFill="1" applyBorder="1" applyAlignment="1">
      <alignment horizontal="right"/>
    </xf>
    <xf numFmtId="1" fontId="9" fillId="25" borderId="59" xfId="0" applyNumberFormat="1" applyFont="1" applyFill="1" applyBorder="1" applyAlignment="1">
      <alignment horizontal="right"/>
    </xf>
    <xf numFmtId="1" fontId="9" fillId="25" borderId="60" xfId="0" applyNumberFormat="1" applyFont="1" applyFill="1" applyBorder="1" applyAlignment="1">
      <alignment horizontal="right"/>
    </xf>
    <xf numFmtId="0" fontId="5" fillId="24" borderId="28" xfId="0" applyFont="1" applyFill="1" applyBorder="1" applyProtection="1"/>
    <xf numFmtId="183" fontId="7" fillId="24" borderId="19" xfId="0" applyNumberFormat="1" applyFont="1" applyFill="1" applyBorder="1" applyAlignment="1" applyProtection="1">
      <alignment horizontal="center" vertical="center" wrapText="1"/>
    </xf>
    <xf numFmtId="183" fontId="9" fillId="24" borderId="28" xfId="0" applyNumberFormat="1" applyFont="1" applyFill="1" applyBorder="1" applyAlignment="1" applyProtection="1">
      <alignment horizontal="center" vertical="center"/>
    </xf>
    <xf numFmtId="183" fontId="11" fillId="24" borderId="19" xfId="0" applyNumberFormat="1" applyFont="1" applyFill="1" applyBorder="1" applyAlignment="1" applyProtection="1">
      <alignment horizontal="center"/>
    </xf>
    <xf numFmtId="1" fontId="3" fillId="24" borderId="29" xfId="0" applyNumberFormat="1" applyFont="1" applyFill="1" applyBorder="1" applyAlignment="1" applyProtection="1">
      <alignment horizontal="right"/>
    </xf>
    <xf numFmtId="0" fontId="8" fillId="24" borderId="28" xfId="0" applyFont="1" applyFill="1" applyBorder="1" applyProtection="1"/>
    <xf numFmtId="183" fontId="7" fillId="27" borderId="24" xfId="0" applyNumberFormat="1" applyFont="1" applyFill="1" applyBorder="1" applyProtection="1"/>
    <xf numFmtId="1" fontId="7" fillId="27" borderId="24" xfId="0" applyNumberFormat="1" applyFont="1" applyFill="1" applyBorder="1" applyProtection="1"/>
    <xf numFmtId="183" fontId="7" fillId="27" borderId="25" xfId="0" applyNumberFormat="1" applyFont="1" applyFill="1" applyBorder="1" applyProtection="1"/>
    <xf numFmtId="2" fontId="7" fillId="27" borderId="61" xfId="0" applyNumberFormat="1" applyFont="1" applyFill="1" applyBorder="1" applyProtection="1"/>
    <xf numFmtId="2" fontId="7" fillId="27" borderId="62" xfId="0" applyNumberFormat="1" applyFont="1" applyFill="1" applyBorder="1" applyProtection="1"/>
    <xf numFmtId="185" fontId="7" fillId="27" borderId="62" xfId="0" applyNumberFormat="1" applyFont="1" applyFill="1" applyBorder="1" applyProtection="1"/>
    <xf numFmtId="2" fontId="5" fillId="0" borderId="0" xfId="0" applyNumberFormat="1" applyFont="1" applyFill="1" applyBorder="1"/>
    <xf numFmtId="0" fontId="0" fillId="0" borderId="63" xfId="0" applyBorder="1"/>
    <xf numFmtId="223" fontId="0" fillId="0" borderId="39" xfId="0" applyNumberFormat="1" applyBorder="1"/>
    <xf numFmtId="223" fontId="0" fillId="0" borderId="24" xfId="0" applyNumberFormat="1" applyBorder="1"/>
    <xf numFmtId="2" fontId="0" fillId="0" borderId="24" xfId="0" applyNumberFormat="1" applyBorder="1" applyProtection="1">
      <protection locked="0"/>
    </xf>
    <xf numFmtId="47" fontId="16" fillId="24" borderId="0" xfId="0" applyNumberFormat="1" applyFont="1" applyFill="1" applyBorder="1" applyAlignment="1" applyProtection="1">
      <alignment horizontal="left" wrapText="1"/>
    </xf>
    <xf numFmtId="224" fontId="11" fillId="24" borderId="29" xfId="0" applyNumberFormat="1" applyFont="1" applyFill="1" applyBorder="1" applyAlignment="1" applyProtection="1">
      <alignment horizontal="left"/>
    </xf>
    <xf numFmtId="47" fontId="7" fillId="24" borderId="64" xfId="0" applyNumberFormat="1" applyFont="1" applyFill="1" applyBorder="1" applyProtection="1">
      <protection locked="0"/>
    </xf>
    <xf numFmtId="220" fontId="52" fillId="0" borderId="27" xfId="0" applyNumberFormat="1" applyFont="1" applyFill="1" applyBorder="1" applyAlignment="1" applyProtection="1">
      <alignment horizontal="right"/>
    </xf>
    <xf numFmtId="0" fontId="35" fillId="0" borderId="0" xfId="38" applyFont="1" applyFill="1"/>
    <xf numFmtId="220" fontId="52" fillId="27" borderId="27" xfId="0" applyNumberFormat="1" applyFont="1" applyFill="1" applyBorder="1" applyAlignment="1" applyProtection="1">
      <alignment horizontal="right"/>
    </xf>
    <xf numFmtId="0" fontId="57" fillId="27" borderId="27" xfId="38" applyFont="1" applyFill="1" applyBorder="1" applyAlignment="1">
      <alignment horizontal="center" vertical="center"/>
    </xf>
    <xf numFmtId="183" fontId="0" fillId="29" borderId="53" xfId="0" applyNumberFormat="1" applyFill="1" applyBorder="1"/>
    <xf numFmtId="0" fontId="35" fillId="29" borderId="26" xfId="38" applyFont="1" applyFill="1" applyBorder="1" applyAlignment="1">
      <alignment horizontal="left" vertical="center"/>
    </xf>
    <xf numFmtId="0" fontId="35" fillId="29" borderId="65" xfId="38" applyFont="1" applyFill="1" applyBorder="1" applyAlignment="1">
      <alignment vertical="center"/>
    </xf>
    <xf numFmtId="0" fontId="35" fillId="25" borderId="55" xfId="38" quotePrefix="1" applyFont="1" applyFill="1" applyBorder="1" applyAlignment="1">
      <alignment horizontal="center"/>
    </xf>
    <xf numFmtId="1" fontId="35" fillId="25" borderId="66" xfId="38" applyNumberFormat="1" applyFont="1" applyFill="1" applyBorder="1"/>
    <xf numFmtId="0" fontId="35" fillId="28" borderId="55" xfId="38" applyFont="1" applyFill="1" applyBorder="1"/>
    <xf numFmtId="183" fontId="35" fillId="25" borderId="58" xfId="38" applyNumberFormat="1" applyFont="1" applyFill="1" applyBorder="1"/>
    <xf numFmtId="227" fontId="0" fillId="0" borderId="0" xfId="36" applyNumberFormat="1" applyFont="1" applyBorder="1" applyAlignment="1">
      <alignment horizontal="left"/>
    </xf>
    <xf numFmtId="0" fontId="35" fillId="29" borderId="27" xfId="37" applyFont="1" applyFill="1" applyBorder="1"/>
    <xf numFmtId="21" fontId="11" fillId="27" borderId="27" xfId="0" applyNumberFormat="1" applyFont="1" applyFill="1" applyBorder="1" applyProtection="1"/>
    <xf numFmtId="183" fontId="41" fillId="27" borderId="27" xfId="37" applyNumberFormat="1" applyFont="1" applyFill="1" applyBorder="1" applyAlignment="1">
      <alignment horizontal="center"/>
    </xf>
    <xf numFmtId="0" fontId="41" fillId="27" borderId="27" xfId="37" applyFont="1" applyFill="1" applyBorder="1" applyAlignment="1">
      <alignment horizontal="center"/>
    </xf>
    <xf numFmtId="183" fontId="7" fillId="25" borderId="27" xfId="0" applyNumberFormat="1" applyFont="1" applyFill="1" applyBorder="1" applyAlignment="1">
      <alignment horizontal="center"/>
    </xf>
    <xf numFmtId="0" fontId="5" fillId="29" borderId="11" xfId="0" applyFont="1" applyFill="1" applyBorder="1" applyAlignment="1">
      <alignment horizontal="center"/>
    </xf>
    <xf numFmtId="0" fontId="40" fillId="29" borderId="67" xfId="38" applyFont="1" applyFill="1" applyBorder="1" applyAlignment="1">
      <alignment horizontal="center"/>
    </xf>
    <xf numFmtId="220" fontId="52" fillId="29" borderId="68" xfId="0" applyNumberFormat="1" applyFont="1" applyFill="1" applyBorder="1" applyAlignment="1" applyProtection="1">
      <alignment horizontal="center"/>
    </xf>
    <xf numFmtId="0" fontId="9" fillId="0" borderId="60" xfId="0" applyFont="1" applyFill="1" applyBorder="1" applyAlignment="1" applyProtection="1">
      <alignment horizontal="center"/>
    </xf>
    <xf numFmtId="0" fontId="36" fillId="29" borderId="27" xfId="30" applyFont="1" applyFill="1" applyBorder="1" applyAlignment="1">
      <alignment horizontal="left" vertical="center"/>
    </xf>
    <xf numFmtId="21" fontId="5" fillId="0" borderId="69" xfId="0" applyNumberFormat="1" applyFont="1" applyFill="1" applyBorder="1" applyAlignment="1" applyProtection="1">
      <alignment horizontal="center"/>
    </xf>
    <xf numFmtId="21" fontId="5" fillId="24" borderId="69" xfId="0" applyNumberFormat="1" applyFont="1" applyFill="1" applyBorder="1" applyAlignment="1" applyProtection="1">
      <alignment horizontal="center"/>
    </xf>
    <xf numFmtId="0" fontId="5" fillId="0" borderId="69" xfId="0" applyFont="1" applyFill="1" applyBorder="1" applyAlignment="1" applyProtection="1">
      <alignment horizontal="center"/>
    </xf>
    <xf numFmtId="0" fontId="5" fillId="24" borderId="70" xfId="0" applyFont="1" applyFill="1" applyBorder="1" applyAlignment="1" applyProtection="1">
      <alignment horizontal="center"/>
    </xf>
    <xf numFmtId="0" fontId="0" fillId="0" borderId="71" xfId="0" applyFill="1" applyBorder="1" applyAlignment="1" applyProtection="1">
      <alignment horizontal="center"/>
    </xf>
    <xf numFmtId="0" fontId="0" fillId="0" borderId="69" xfId="0" applyFill="1" applyBorder="1" applyProtection="1"/>
    <xf numFmtId="0" fontId="8" fillId="0" borderId="70" xfId="0" applyFont="1" applyFill="1" applyBorder="1" applyProtection="1">
      <protection locked="0"/>
    </xf>
    <xf numFmtId="0" fontId="16" fillId="24" borderId="69" xfId="0" applyFont="1" applyFill="1" applyBorder="1" applyAlignment="1" applyProtection="1">
      <alignment horizontal="left" wrapText="1"/>
    </xf>
    <xf numFmtId="0" fontId="0" fillId="0" borderId="69" xfId="0" applyBorder="1" applyProtection="1"/>
    <xf numFmtId="0" fontId="0" fillId="0" borderId="70" xfId="0" applyFill="1" applyBorder="1" applyProtection="1"/>
    <xf numFmtId="22" fontId="5" fillId="24" borderId="72" xfId="0" applyNumberFormat="1" applyFont="1" applyFill="1" applyBorder="1" applyAlignment="1" applyProtection="1">
      <alignment horizontal="left" vertical="center" wrapText="1"/>
    </xf>
    <xf numFmtId="0" fontId="0" fillId="24" borderId="73" xfId="0" applyFill="1" applyBorder="1" applyProtection="1"/>
    <xf numFmtId="0" fontId="9" fillId="24" borderId="74" xfId="0" applyFont="1" applyFill="1" applyBorder="1" applyAlignment="1" applyProtection="1">
      <alignment horizontal="left"/>
    </xf>
    <xf numFmtId="21" fontId="5" fillId="24" borderId="74" xfId="0" applyNumberFormat="1" applyFont="1" applyFill="1" applyBorder="1" applyProtection="1"/>
    <xf numFmtId="0" fontId="8" fillId="24" borderId="75" xfId="0" applyFont="1" applyFill="1" applyBorder="1" applyProtection="1"/>
    <xf numFmtId="0" fontId="9" fillId="24" borderId="31" xfId="0" applyFont="1" applyFill="1" applyBorder="1" applyProtection="1"/>
    <xf numFmtId="0" fontId="0" fillId="24" borderId="76" xfId="0" applyFill="1" applyBorder="1" applyProtection="1"/>
    <xf numFmtId="0" fontId="0" fillId="24" borderId="31" xfId="0" applyFill="1" applyBorder="1" applyAlignment="1" applyProtection="1">
      <alignment horizontal="right"/>
    </xf>
    <xf numFmtId="0" fontId="0" fillId="24" borderId="42" xfId="0" applyFill="1" applyBorder="1" applyAlignment="1" applyProtection="1">
      <alignment horizontal="right"/>
    </xf>
    <xf numFmtId="0" fontId="35" fillId="30" borderId="0" xfId="38" applyFont="1" applyFill="1"/>
    <xf numFmtId="0" fontId="35" fillId="30" borderId="0" xfId="38" applyFont="1" applyFill="1" applyAlignment="1">
      <alignment vertical="center"/>
    </xf>
    <xf numFmtId="0" fontId="39" fillId="25" borderId="27" xfId="38" applyNumberFormat="1" applyFont="1" applyFill="1" applyBorder="1" applyAlignment="1">
      <alignment horizontal="center" vertical="center" wrapText="1"/>
    </xf>
    <xf numFmtId="1" fontId="7" fillId="24" borderId="77" xfId="0" quotePrefix="1" applyNumberFormat="1" applyFont="1" applyFill="1" applyBorder="1" applyAlignment="1" applyProtection="1">
      <alignment horizontal="center"/>
    </xf>
    <xf numFmtId="2" fontId="0" fillId="0" borderId="0" xfId="0" applyNumberFormat="1" applyProtection="1">
      <protection locked="0"/>
    </xf>
    <xf numFmtId="184" fontId="0" fillId="0" borderId="0" xfId="0" applyNumberFormat="1" applyFill="1" applyBorder="1" applyAlignment="1" applyProtection="1">
      <alignment horizontal="left"/>
    </xf>
    <xf numFmtId="192" fontId="5" fillId="0" borderId="0" xfId="0" applyNumberFormat="1" applyFont="1" applyFill="1" applyBorder="1" applyAlignment="1"/>
    <xf numFmtId="192" fontId="15" fillId="24" borderId="78" xfId="0" applyNumberFormat="1" applyFont="1" applyFill="1" applyBorder="1" applyAlignment="1" applyProtection="1"/>
    <xf numFmtId="225" fontId="5" fillId="0" borderId="0" xfId="0" applyNumberFormat="1" applyFont="1" applyFill="1" applyBorder="1" applyAlignment="1" applyProtection="1">
      <alignment horizontal="center" vertical="center"/>
    </xf>
    <xf numFmtId="2" fontId="5" fillId="0" borderId="0" xfId="0" applyNumberFormat="1" applyFont="1" applyFill="1" applyBorder="1" applyAlignment="1" applyProtection="1">
      <alignment horizontal="center" vertical="center"/>
    </xf>
    <xf numFmtId="183" fontId="47" fillId="24" borderId="37" xfId="0" applyNumberFormat="1" applyFont="1" applyFill="1" applyBorder="1" applyAlignment="1" applyProtection="1">
      <alignment horizontal="center"/>
    </xf>
    <xf numFmtId="183" fontId="47" fillId="24" borderId="28" xfId="0" applyNumberFormat="1" applyFont="1" applyFill="1" applyBorder="1" applyAlignment="1" applyProtection="1">
      <alignment horizontal="center"/>
    </xf>
    <xf numFmtId="47" fontId="49" fillId="24" borderId="28" xfId="0" applyNumberFormat="1" applyFont="1" applyFill="1" applyBorder="1" applyAlignment="1" applyProtection="1">
      <alignment horizontal="left"/>
    </xf>
    <xf numFmtId="0" fontId="0" fillId="0" borderId="19" xfId="0" applyBorder="1" applyAlignment="1" applyProtection="1"/>
    <xf numFmtId="21" fontId="7" fillId="0" borderId="0" xfId="0" applyNumberFormat="1" applyFont="1" applyBorder="1" applyAlignment="1" applyProtection="1">
      <alignment horizontal="center"/>
    </xf>
    <xf numFmtId="21" fontId="3" fillId="24" borderId="36" xfId="0" applyNumberFormat="1" applyFont="1" applyFill="1" applyBorder="1" applyAlignment="1" applyProtection="1">
      <alignment horizontal="center" vertical="center"/>
    </xf>
    <xf numFmtId="0" fontId="45" fillId="0" borderId="79" xfId="0" applyFont="1" applyBorder="1" applyAlignment="1" applyProtection="1">
      <alignment vertical="center"/>
    </xf>
    <xf numFmtId="49" fontId="6" fillId="25" borderId="15" xfId="0" applyNumberFormat="1" applyFont="1" applyFill="1" applyBorder="1" applyAlignment="1" applyProtection="1">
      <alignment horizontal="center" wrapText="1"/>
    </xf>
    <xf numFmtId="49" fontId="6" fillId="25" borderId="80" xfId="0" applyNumberFormat="1" applyFont="1" applyFill="1" applyBorder="1" applyAlignment="1" applyProtection="1">
      <alignment horizontal="center" wrapText="1"/>
    </xf>
    <xf numFmtId="0" fontId="16" fillId="24" borderId="26" xfId="0" applyFont="1" applyFill="1" applyBorder="1" applyAlignment="1" applyProtection="1">
      <alignment horizontal="left" vertical="center" wrapText="1"/>
    </xf>
    <xf numFmtId="0" fontId="16" fillId="24" borderId="36" xfId="0" applyFont="1" applyFill="1" applyBorder="1" applyAlignment="1" applyProtection="1">
      <alignment horizontal="left" vertical="center" wrapText="1"/>
    </xf>
    <xf numFmtId="49" fontId="16" fillId="24" borderId="81" xfId="0" applyNumberFormat="1" applyFont="1" applyFill="1" applyBorder="1" applyAlignment="1" applyProtection="1">
      <alignment horizontal="left" vertical="center" wrapText="1"/>
    </xf>
    <xf numFmtId="49" fontId="16" fillId="24" borderId="38" xfId="0" applyNumberFormat="1" applyFont="1" applyFill="1" applyBorder="1" applyAlignment="1" applyProtection="1">
      <alignment horizontal="left" vertical="center" wrapText="1"/>
    </xf>
    <xf numFmtId="0" fontId="5" fillId="24" borderId="69" xfId="0" applyFont="1" applyFill="1" applyBorder="1" applyAlignment="1" applyProtection="1">
      <alignment horizontal="right"/>
    </xf>
    <xf numFmtId="183" fontId="47" fillId="23" borderId="23" xfId="0" applyNumberFormat="1" applyFont="1" applyFill="1" applyBorder="1" applyAlignment="1" applyProtection="1">
      <alignment horizontal="right" vertical="center"/>
    </xf>
    <xf numFmtId="183" fontId="47" fillId="23" borderId="0" xfId="0" applyNumberFormat="1" applyFont="1" applyFill="1" applyBorder="1" applyAlignment="1" applyProtection="1">
      <alignment horizontal="right" vertical="center"/>
    </xf>
    <xf numFmtId="183" fontId="47" fillId="23" borderId="32" xfId="0" applyNumberFormat="1" applyFont="1" applyFill="1" applyBorder="1" applyAlignment="1" applyProtection="1">
      <alignment horizontal="right" vertical="center"/>
    </xf>
    <xf numFmtId="183" fontId="47" fillId="23" borderId="33" xfId="0" applyNumberFormat="1" applyFont="1" applyFill="1" applyBorder="1" applyAlignment="1" applyProtection="1">
      <alignment horizontal="right" vertical="center"/>
    </xf>
    <xf numFmtId="21" fontId="5" fillId="24" borderId="71" xfId="0" applyNumberFormat="1" applyFont="1" applyFill="1" applyBorder="1" applyAlignment="1" applyProtection="1">
      <alignment horizontal="right"/>
    </xf>
    <xf numFmtId="21" fontId="5" fillId="24" borderId="69" xfId="0" applyNumberFormat="1" applyFont="1" applyFill="1" applyBorder="1" applyAlignment="1" applyProtection="1">
      <alignment horizontal="right"/>
    </xf>
    <xf numFmtId="0" fontId="37" fillId="28" borderId="0" xfId="38" applyFont="1" applyFill="1" applyAlignment="1">
      <alignment horizontal="center" vertical="center"/>
    </xf>
    <xf numFmtId="0" fontId="57" fillId="27" borderId="82" xfId="38" applyFont="1" applyFill="1" applyBorder="1" applyAlignment="1">
      <alignment horizontal="center" vertical="center"/>
    </xf>
    <xf numFmtId="0" fontId="57" fillId="27" borderId="83" xfId="38" applyFont="1" applyFill="1" applyBorder="1" applyAlignment="1">
      <alignment horizontal="center" vertical="center"/>
    </xf>
    <xf numFmtId="0" fontId="36" fillId="29" borderId="82" xfId="38" applyFont="1" applyFill="1" applyBorder="1" applyAlignment="1">
      <alignment horizontal="center" vertical="center" wrapText="1"/>
    </xf>
    <xf numFmtId="0" fontId="36" fillId="29" borderId="83" xfId="38" applyFont="1" applyFill="1" applyBorder="1" applyAlignment="1">
      <alignment horizontal="center" vertical="center" wrapText="1"/>
    </xf>
    <xf numFmtId="0" fontId="35" fillId="29" borderId="84" xfId="38" applyFont="1" applyFill="1" applyBorder="1" applyAlignment="1">
      <alignment horizontal="center"/>
    </xf>
    <xf numFmtId="0" fontId="35" fillId="29" borderId="69" xfId="38" applyFont="1" applyFill="1" applyBorder="1" applyAlignment="1">
      <alignment horizontal="center"/>
    </xf>
    <xf numFmtId="0" fontId="35" fillId="29" borderId="73" xfId="38" applyFont="1" applyFill="1" applyBorder="1" applyAlignment="1">
      <alignment horizontal="center"/>
    </xf>
    <xf numFmtId="183" fontId="56" fillId="27" borderId="85" xfId="37" applyNumberFormat="1" applyFont="1" applyFill="1" applyBorder="1" applyAlignment="1">
      <alignment horizontal="center"/>
    </xf>
    <xf numFmtId="183" fontId="56" fillId="27" borderId="86" xfId="37" applyNumberFormat="1" applyFont="1" applyFill="1" applyBorder="1" applyAlignment="1">
      <alignment horizontal="center"/>
    </xf>
    <xf numFmtId="183" fontId="56" fillId="27" borderId="87" xfId="37" applyNumberFormat="1" applyFont="1" applyFill="1" applyBorder="1" applyAlignment="1">
      <alignment horizontal="center"/>
    </xf>
    <xf numFmtId="0" fontId="35" fillId="29" borderId="0" xfId="38" applyFont="1" applyFill="1" applyBorder="1" applyAlignment="1">
      <alignment horizontal="center"/>
    </xf>
    <xf numFmtId="0" fontId="35" fillId="29" borderId="88" xfId="38" applyFont="1" applyFill="1" applyBorder="1" applyAlignment="1">
      <alignment horizontal="center" vertical="center"/>
    </xf>
    <xf numFmtId="0" fontId="0" fillId="0" borderId="89" xfId="0" applyBorder="1" applyAlignment="1">
      <alignment vertical="center"/>
    </xf>
  </cellXfs>
  <cellStyles count="43">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Millares" xfId="36" builtinId="3"/>
    <cellStyle name="Normal" xfId="0" builtinId="0"/>
    <cellStyle name="Normal_proyecto 2" xfId="37"/>
    <cellStyle name="Normal_RS232_y_Arduino_v3" xfId="38"/>
    <cellStyle name="Note" xfId="39"/>
    <cellStyle name="Output" xfId="40"/>
    <cellStyle name="Title" xfId="41"/>
    <cellStyle name="Warning Text" xfId="42"/>
  </cellStyles>
  <dxfs count="20">
    <dxf>
      <fill>
        <patternFill>
          <bgColor indexed="46"/>
        </patternFill>
      </fill>
    </dxf>
    <dxf>
      <fill>
        <patternFill>
          <bgColor indexed="51"/>
        </patternFill>
      </fill>
    </dxf>
    <dxf>
      <font>
        <b/>
        <i val="0"/>
        <condense val="0"/>
        <extend val="0"/>
        <color indexed="10"/>
      </font>
    </dxf>
    <dxf>
      <font>
        <b/>
        <i/>
        <condense val="0"/>
        <extend val="0"/>
        <color indexed="10"/>
      </font>
      <fill>
        <patternFill>
          <bgColor indexed="51"/>
        </patternFill>
      </fill>
    </dxf>
    <dxf>
      <font>
        <b/>
        <i val="0"/>
        <condense val="0"/>
        <extend val="0"/>
        <color indexed="10"/>
      </font>
      <fill>
        <patternFill>
          <bgColor indexed="51"/>
        </patternFill>
      </fill>
    </dxf>
    <dxf>
      <font>
        <b/>
        <i val="0"/>
        <condense val="0"/>
        <extend val="0"/>
        <color indexed="8"/>
      </font>
      <fill>
        <patternFill>
          <bgColor indexed="51"/>
        </patternFill>
      </fill>
    </dxf>
    <dxf>
      <font>
        <condense val="0"/>
        <extend val="0"/>
        <color indexed="9"/>
      </font>
    </dxf>
    <dxf>
      <font>
        <b/>
        <i/>
        <condense val="0"/>
        <extend val="0"/>
        <color indexed="10"/>
      </font>
    </dxf>
    <dxf>
      <font>
        <b val="0"/>
        <i val="0"/>
        <condense val="0"/>
        <extend val="0"/>
        <color auto="1"/>
      </font>
    </dxf>
    <dxf>
      <font>
        <condense val="0"/>
        <extend val="0"/>
        <color indexed="9"/>
      </font>
    </dxf>
    <dxf>
      <font>
        <b/>
        <i val="0"/>
        <condense val="0"/>
        <extend val="0"/>
        <color indexed="10"/>
      </font>
      <fill>
        <patternFill>
          <bgColor indexed="51"/>
        </patternFill>
      </fill>
    </dxf>
    <dxf>
      <font>
        <condense val="0"/>
        <extend val="0"/>
        <color indexed="9"/>
      </font>
    </dxf>
    <dxf>
      <font>
        <b/>
        <i/>
        <condense val="0"/>
        <extend val="0"/>
        <color indexed="10"/>
      </font>
    </dxf>
    <dxf>
      <font>
        <b/>
        <i/>
        <condense val="0"/>
        <extend val="0"/>
        <color indexed="10"/>
      </font>
      <fill>
        <patternFill>
          <bgColor indexed="51"/>
        </patternFill>
      </fill>
    </dxf>
    <dxf>
      <font>
        <b/>
        <i val="0"/>
        <condense val="0"/>
        <extend val="0"/>
        <color indexed="10"/>
      </font>
      <fill>
        <patternFill>
          <bgColor indexed="52"/>
        </patternFill>
      </fill>
    </dxf>
    <dxf>
      <font>
        <b/>
        <i/>
        <condense val="0"/>
        <extend val="0"/>
        <color indexed="10"/>
      </font>
      <fill>
        <patternFill>
          <bgColor indexed="51"/>
        </patternFill>
      </fill>
    </dxf>
    <dxf>
      <font>
        <b/>
        <i/>
        <condense val="0"/>
        <extend val="0"/>
        <color indexed="10"/>
      </font>
      <fill>
        <patternFill>
          <bgColor indexed="51"/>
        </patternFill>
      </fill>
    </dxf>
    <dxf>
      <font>
        <b/>
        <i/>
        <condense val="0"/>
        <extend val="0"/>
        <color indexed="10"/>
      </font>
      <fill>
        <patternFill>
          <bgColor indexed="51"/>
        </patternFill>
      </fill>
    </dxf>
    <dxf>
      <font>
        <b/>
        <i/>
        <condense val="0"/>
        <extend val="0"/>
        <color indexed="10"/>
      </font>
      <fill>
        <patternFill>
          <bgColor indexed="51"/>
        </patternFill>
      </fill>
    </dxf>
    <dxf>
      <font>
        <b/>
        <i/>
        <condense val="0"/>
        <extend val="0"/>
        <color indexed="10"/>
      </font>
      <fill>
        <patternFill>
          <bgColor indexed="5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3.xml.rels><?xml version="1.0" encoding="UTF-8" standalone="yes"?>
<Relationships xmlns="http://schemas.openxmlformats.org/package/2006/relationships"><Relationship Id="rId1" Type="http://schemas.microsoft.com/office/2006/relationships/activeXControlBinary" Target="activeX2.bin"/></Relationships>
</file>

<file path=xl/activeX/_rels/activeX4.xml.rels><?xml version="1.0" encoding="UTF-8" standalone="yes"?>
<Relationships xmlns="http://schemas.openxmlformats.org/package/2006/relationships"><Relationship Id="rId1" Type="http://schemas.microsoft.com/office/2006/relationships/activeXControlBinary" Target="activeX3.bin"/></Relationships>
</file>

<file path=xl/activeX/_rels/activeX5.xml.rels><?xml version="1.0" encoding="UTF-8" standalone="yes"?>
<Relationships xmlns="http://schemas.openxmlformats.org/package/2006/relationships"><Relationship Id="rId1" Type="http://schemas.microsoft.com/office/2006/relationships/activeXControlBinary" Target="activeX4.bin"/></Relationships>
</file>

<file path=xl/activeX/_rels/activeX6.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53867031-6B4D-4F7D-B089-5DFEC731F5FA}" ax:persistence="persistStreamInit" r:id="rId1"/>
</file>

<file path=xl/activeX/activeX2.xml><?xml version="1.0" encoding="utf-8"?>
<ax:ocx xmlns:ax="http://schemas.microsoft.com/office/2006/activeX" xmlns:r="http://schemas.openxmlformats.org/officeDocument/2006/relationships" ax:classid="{53867031-6B4D-4F7D-B089-5DFEC731F5FA}" ax:persistence="persistPropertyBag">
  <ax:ocxPr ax:name="_ExtentX" ax:value="2037"/>
  <ax:ocxPr ax:name="_ExtentY" ax:value="1482"/>
  <ax:ocxPr ax:name="Settings" ax:value="19200, N, 8, 1"/>
  <ax:ocxPr ax:name="CommPort" ax:value="8"/>
  <ax:ocxPr ax:name="Handshaking" ax:value="0"/>
  <ax:ocxPr ax:name="InputBufferSize" ax:value="2048"/>
  <ax:ocxPr ax:name="InputLength" ax:value="1"/>
  <ax:ocxPr ax:name="InputMode" ax:value="0"/>
  <ax:ocxPr ax:name="NullDiscard" ax:value="0"/>
  <ax:ocxPr ax:name="OutputBufferSize" ax:value="1024"/>
  <ax:ocxPr ax:name="ParityReplace" ax:value="?"/>
  <ax:ocxPr ax:name="OnCommReceiveThreshold" ax:value="1"/>
  <ax:ocxPr ax:name="RTSEnable" ax:value="0"/>
  <ax:ocxPr ax:name="OnCommSendThreshold" ax:value="0"/>
  <ax:ocxPr ax:name="DTREnable" ax:value="-1"/>
</ax:ocx>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53867031-6B4D-4F7D-B089-5DFEC731F5FA}"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gradFill rotWithShape="0">
              <a:gsLst>
                <a:gs pos="0">
                  <a:srgbClr xmlns:mc="http://schemas.openxmlformats.org/markup-compatibility/2006" xmlns:a14="http://schemas.microsoft.com/office/drawing/2010/main" val="339966" mc:Ignorable="a14" a14:legacySpreadsheetColorIndex="57"/>
                </a:gs>
                <a:gs pos="100000">
                  <a:srgbClr xmlns:mc="http://schemas.openxmlformats.org/markup-compatibility/2006" xmlns:a14="http://schemas.microsoft.com/office/drawing/2010/main" val="FF9900" mc:Ignorable="a14" a14:legacySpreadsheetColorIndex="52"/>
                </a:gs>
              </a:gsLst>
              <a:lin ang="0" scaled="1"/>
            </a:gradFill>
            <a:ln w="12700">
              <a:solidFill>
                <a:srgbClr val="000000"/>
              </a:solidFill>
              <a:prstDash val="solid"/>
            </a:ln>
          </c:spPr>
          <c:invertIfNegative val="1"/>
          <c:val>
            <c:numRef>
              <c:f>'TR bas'!$H$5</c:f>
              <c:numCache>
                <c:formatCode>0.000</c:formatCode>
                <c:ptCount val="1"/>
                <c:pt idx="0">
                  <c:v>-49.306094059662428</c:v>
                </c:pt>
              </c:numCache>
            </c:numRef>
          </c:val>
        </c:ser>
        <c:dLbls>
          <c:showLegendKey val="0"/>
          <c:showVal val="0"/>
          <c:showCatName val="0"/>
          <c:showSerName val="0"/>
          <c:showPercent val="0"/>
          <c:showBubbleSize val="0"/>
        </c:dLbls>
        <c:gapWidth val="0"/>
        <c:axId val="44892544"/>
        <c:axId val="44894080"/>
      </c:barChart>
      <c:catAx>
        <c:axId val="44892544"/>
        <c:scaling>
          <c:orientation val="minMax"/>
        </c:scaling>
        <c:delete val="1"/>
        <c:axPos val="l"/>
        <c:majorTickMark val="out"/>
        <c:minorTickMark val="none"/>
        <c:tickLblPos val="nextTo"/>
        <c:crossAx val="44894080"/>
        <c:crosses val="autoZero"/>
        <c:auto val="1"/>
        <c:lblAlgn val="ctr"/>
        <c:lblOffset val="100"/>
        <c:noMultiLvlLbl val="0"/>
      </c:catAx>
      <c:valAx>
        <c:axId val="44894080"/>
        <c:scaling>
          <c:orientation val="minMax"/>
          <c:max val="0.1"/>
          <c:min val="-0.1"/>
        </c:scaling>
        <c:delete val="1"/>
        <c:axPos val="b"/>
        <c:majorGridlines>
          <c:spPr>
            <a:ln w="3175">
              <a:solidFill>
                <a:srgbClr val="000000"/>
              </a:solidFill>
              <a:prstDash val="solid"/>
            </a:ln>
          </c:spPr>
        </c:majorGridlines>
        <c:numFmt formatCode="0.000" sourceLinked="1"/>
        <c:majorTickMark val="out"/>
        <c:minorTickMark val="none"/>
        <c:tickLblPos val="nextTo"/>
        <c:crossAx val="44892544"/>
        <c:crosses val="autoZero"/>
        <c:crossBetween val="between"/>
        <c:majorUnit val="0.1"/>
        <c:minorUnit val="0.1"/>
      </c:valAx>
      <c:spPr>
        <a:solidFill>
          <a:srgbClr val="C0C0C0"/>
        </a:solidFill>
        <a:ln w="12700">
          <a:solidFill>
            <a:srgbClr val="808080"/>
          </a:solidFill>
          <a:prstDash val="solid"/>
        </a:ln>
      </c:spPr>
    </c:plotArea>
    <c:plotVisOnly val="1"/>
    <c:dispBlanksAs val="gap"/>
    <c:showDLblsOverMax val="0"/>
  </c:chart>
  <c:spPr>
    <a:solidFill>
      <a:srgbClr val="FFFF99"/>
    </a:solidFill>
    <a:ln w="9525">
      <a:noFill/>
    </a:ln>
  </c:spPr>
  <c:txPr>
    <a:bodyPr/>
    <a:lstStyle/>
    <a:p>
      <a:pPr>
        <a:defRPr sz="100" b="0" i="0" u="none" strike="noStrike" baseline="0">
          <a:solidFill>
            <a:srgbClr val="000000"/>
          </a:solidFill>
          <a:latin typeface="Arial"/>
          <a:ea typeface="Arial"/>
          <a:cs typeface="Arial"/>
        </a:defRPr>
      </a:pPr>
      <a:endParaRPr lang="es-ES"/>
    </a:p>
  </c:txPr>
  <c:printSettings>
    <c:headerFooter alignWithMargins="0"/>
    <c:pageMargins b="1" l="0.75" r="0.75" t="1" header="0" footer="0"/>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3" dropStyle="combo" dx="16" fmlaLink="$IS$5" fmlaRange="$IR$5:$IR$7" noThreeD="1" sel="3" val="0"/>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7" dropStyle="combo" dx="16" fmlaLink="$IO$4" fmlaRange="$IL$1:$IN$7" noThreeD="1" sel="4"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3" dropStyle="combo" dx="16" fmlaLink="$IQ$5" fmlaRange="$IP$4:$IP$6" noThreeD="1" sel="3" val="0"/>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Lines="20" dropStyle="combo" dx="16" fmlaLink="$IO$18" fmlaRange="$IL$8:$IL$28" noThreeD="1" sel="11"/>
</file>

<file path=xl/ctrlProps/ctrlProp15.xml><?xml version="1.0" encoding="utf-8"?>
<formControlPr xmlns="http://schemas.microsoft.com/office/spreadsheetml/2009/9/main" objectType="Drop" dropLines="2" dropStyle="combo" dx="16" fmlaLink="$BJ$6" fmlaRange="$BI$5:$BI$6" noThreeD="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Lines="7" dropStyle="combo" dx="16" fmlaLink="$IU$5" fmlaRange="$IT$5:$IT$6" noThreeD="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2" dropStyle="combo" dx="16" fmlaLink="$BK$7" fmlaRange="$BJ$7:$BJ$8" noThreeD="1"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31</xdr:col>
      <xdr:colOff>85725</xdr:colOff>
      <xdr:row>2</xdr:row>
      <xdr:rowOff>390525</xdr:rowOff>
    </xdr:from>
    <xdr:to>
      <xdr:col>31</xdr:col>
      <xdr:colOff>314325</xdr:colOff>
      <xdr:row>3</xdr:row>
      <xdr:rowOff>57150</xdr:rowOff>
    </xdr:to>
    <xdr:sp macro="" textlink="">
      <xdr:nvSpPr>
        <xdr:cNvPr id="106497" name="2 Rectángulo"/>
        <xdr:cNvSpPr>
          <a:spLocks noChangeArrowheads="1"/>
        </xdr:cNvSpPr>
      </xdr:nvSpPr>
      <xdr:spPr bwMode="auto">
        <a:xfrm>
          <a:off x="15182850" y="1095375"/>
          <a:ext cx="228600" cy="57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ctr">
              <a:solidFill>
                <a:srgbClr val="000000"/>
              </a:solidFill>
              <a:round/>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866775</xdr:colOff>
          <xdr:row>0</xdr:row>
          <xdr:rowOff>57150</xdr:rowOff>
        </xdr:from>
        <xdr:to>
          <xdr:col>12</xdr:col>
          <xdr:colOff>114300</xdr:colOff>
          <xdr:row>0</xdr:row>
          <xdr:rowOff>314325</xdr:rowOff>
        </xdr:to>
        <xdr:sp macro="" textlink="">
          <xdr:nvSpPr>
            <xdr:cNvPr id="106498" name="Button 2" hidden="1">
              <a:extLst>
                <a:ext uri="{63B3BB69-23CF-44E3-9099-C40C66FF867C}">
                  <a14:compatExt spid="_x0000_s1064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900" b="1" i="0" u="none" strike="noStrike" baseline="0">
                  <a:solidFill>
                    <a:srgbClr val="3366FF"/>
                  </a:solidFill>
                  <a:latin typeface="Arial"/>
                  <a:cs typeface="Arial"/>
                </a:rPr>
                <a:t>Salida inmediata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866775</xdr:colOff>
          <xdr:row>5</xdr:row>
          <xdr:rowOff>381000</xdr:rowOff>
        </xdr:from>
        <xdr:to>
          <xdr:col>5</xdr:col>
          <xdr:colOff>0</xdr:colOff>
          <xdr:row>6</xdr:row>
          <xdr:rowOff>57150</xdr:rowOff>
        </xdr:to>
        <xdr:sp macro="" textlink="">
          <xdr:nvSpPr>
            <xdr:cNvPr id="106499" name="Drop Down 3" hidden="1">
              <a:extLst>
                <a:ext uri="{63B3BB69-23CF-44E3-9099-C40C66FF867C}">
                  <a14:compatExt spid="_x0000_s10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628650</xdr:colOff>
          <xdr:row>0</xdr:row>
          <xdr:rowOff>28575</xdr:rowOff>
        </xdr:from>
        <xdr:to>
          <xdr:col>8</xdr:col>
          <xdr:colOff>809625</xdr:colOff>
          <xdr:row>0</xdr:row>
          <xdr:rowOff>295275</xdr:rowOff>
        </xdr:to>
        <xdr:sp macro="" textlink="">
          <xdr:nvSpPr>
            <xdr:cNvPr id="106500" name="Button 4" hidden="1">
              <a:extLst>
                <a:ext uri="{63B3BB69-23CF-44E3-9099-C40C66FF867C}">
                  <a14:compatExt spid="_x0000_s1065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nº subtramos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xdr:row>
          <xdr:rowOff>161925</xdr:rowOff>
        </xdr:from>
        <xdr:to>
          <xdr:col>11</xdr:col>
          <xdr:colOff>685800</xdr:colOff>
          <xdr:row>2</xdr:row>
          <xdr:rowOff>57150</xdr:rowOff>
        </xdr:to>
        <xdr:sp macro="" textlink="">
          <xdr:nvSpPr>
            <xdr:cNvPr id="106501" name="Button 5" hidden="1">
              <a:extLst>
                <a:ext uri="{63B3BB69-23CF-44E3-9099-C40C66FF867C}">
                  <a14:compatExt spid="_x0000_s1065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19050</xdr:rowOff>
        </xdr:from>
        <xdr:to>
          <xdr:col>4</xdr:col>
          <xdr:colOff>371475</xdr:colOff>
          <xdr:row>0</xdr:row>
          <xdr:rowOff>304800</xdr:rowOff>
        </xdr:to>
        <xdr:sp macro="" textlink="">
          <xdr:nvSpPr>
            <xdr:cNvPr id="106504" name="Button 8" hidden="1">
              <a:extLst>
                <a:ext uri="{63B3BB69-23CF-44E3-9099-C40C66FF867C}">
                  <a14:compatExt spid="_x0000_s1065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Resetear odómetro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57150</xdr:colOff>
          <xdr:row>3</xdr:row>
          <xdr:rowOff>66675</xdr:rowOff>
        </xdr:from>
        <xdr:to>
          <xdr:col>22</xdr:col>
          <xdr:colOff>495300</xdr:colOff>
          <xdr:row>3</xdr:row>
          <xdr:rowOff>266700</xdr:rowOff>
        </xdr:to>
        <xdr:sp macro="" textlink="">
          <xdr:nvSpPr>
            <xdr:cNvPr id="106505" name="Drop Down 9" hidden="1">
              <a:extLst>
                <a:ext uri="{63B3BB69-23CF-44E3-9099-C40C66FF867C}">
                  <a14:compatExt spid="_x0000_s106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19050</xdr:colOff>
          <xdr:row>2</xdr:row>
          <xdr:rowOff>38100</xdr:rowOff>
        </xdr:from>
        <xdr:to>
          <xdr:col>22</xdr:col>
          <xdr:colOff>542925</xdr:colOff>
          <xdr:row>2</xdr:row>
          <xdr:rowOff>371475</xdr:rowOff>
        </xdr:to>
        <xdr:sp macro="" textlink="">
          <xdr:nvSpPr>
            <xdr:cNvPr id="106506" name="Button 10" hidden="1">
              <a:extLst>
                <a:ext uri="{63B3BB69-23CF-44E3-9099-C40C66FF867C}">
                  <a14:compatExt spid="_x0000_s1065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+10m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2</xdr:row>
          <xdr:rowOff>28575</xdr:rowOff>
        </xdr:from>
        <xdr:to>
          <xdr:col>21</xdr:col>
          <xdr:colOff>638175</xdr:colOff>
          <xdr:row>2</xdr:row>
          <xdr:rowOff>361950</xdr:rowOff>
        </xdr:to>
        <xdr:sp macro="" textlink="">
          <xdr:nvSpPr>
            <xdr:cNvPr id="106507" name="Button 11" hidden="1">
              <a:extLst>
                <a:ext uri="{63B3BB69-23CF-44E3-9099-C40C66FF867C}">
                  <a14:compatExt spid="_x0000_s1065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- 5m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38100</xdr:colOff>
          <xdr:row>0</xdr:row>
          <xdr:rowOff>28575</xdr:rowOff>
        </xdr:from>
        <xdr:to>
          <xdr:col>22</xdr:col>
          <xdr:colOff>561975</xdr:colOff>
          <xdr:row>0</xdr:row>
          <xdr:rowOff>323850</xdr:rowOff>
        </xdr:to>
        <xdr:sp macro="" textlink="">
          <xdr:nvSpPr>
            <xdr:cNvPr id="106508" name="Button 12" hidden="1">
              <a:extLst>
                <a:ext uri="{63B3BB69-23CF-44E3-9099-C40C66FF867C}">
                  <a14:compatExt spid="_x0000_s106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Ocultar parámetros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66675</xdr:colOff>
          <xdr:row>4</xdr:row>
          <xdr:rowOff>600075</xdr:rowOff>
        </xdr:from>
        <xdr:to>
          <xdr:col>35</xdr:col>
          <xdr:colOff>552450</xdr:colOff>
          <xdr:row>6</xdr:row>
          <xdr:rowOff>19050</xdr:rowOff>
        </xdr:to>
        <xdr:sp macro="" textlink="">
          <xdr:nvSpPr>
            <xdr:cNvPr id="106509" name="Button 13" hidden="1">
              <a:extLst>
                <a:ext uri="{63B3BB69-23CF-44E3-9099-C40C66FF867C}">
                  <a14:compatExt spid="_x0000_s106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Modo extendido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0</xdr:row>
          <xdr:rowOff>57150</xdr:rowOff>
        </xdr:from>
        <xdr:to>
          <xdr:col>25</xdr:col>
          <xdr:colOff>247650</xdr:colOff>
          <xdr:row>0</xdr:row>
          <xdr:rowOff>314325</xdr:rowOff>
        </xdr:to>
        <xdr:sp macro="" textlink="">
          <xdr:nvSpPr>
            <xdr:cNvPr id="106511" name="Button 15" hidden="1">
              <a:extLst>
                <a:ext uri="{63B3BB69-23CF-44E3-9099-C40C66FF867C}">
                  <a14:compatExt spid="_x0000_s10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Mostrar parámetros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66675</xdr:colOff>
          <xdr:row>4</xdr:row>
          <xdr:rowOff>38100</xdr:rowOff>
        </xdr:from>
        <xdr:to>
          <xdr:col>22</xdr:col>
          <xdr:colOff>504825</xdr:colOff>
          <xdr:row>4</xdr:row>
          <xdr:rowOff>238125</xdr:rowOff>
        </xdr:to>
        <xdr:sp macro="" textlink="">
          <xdr:nvSpPr>
            <xdr:cNvPr id="106512" name="Drop Down 16" hidden="1">
              <a:extLst>
                <a:ext uri="{63B3BB69-23CF-44E3-9099-C40C66FF867C}">
                  <a14:compatExt spid="_x0000_s106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438150</xdr:colOff>
          <xdr:row>0</xdr:row>
          <xdr:rowOff>19050</xdr:rowOff>
        </xdr:from>
        <xdr:to>
          <xdr:col>7</xdr:col>
          <xdr:colOff>581025</xdr:colOff>
          <xdr:row>0</xdr:row>
          <xdr:rowOff>304800</xdr:rowOff>
        </xdr:to>
        <xdr:sp macro="" textlink="">
          <xdr:nvSpPr>
            <xdr:cNvPr id="106513" name="Button 17" hidden="1">
              <a:extLst>
                <a:ext uri="{63B3BB69-23CF-44E3-9099-C40C66FF867C}">
                  <a14:compatExt spid="_x0000_s1065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dis 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76200</xdr:colOff>
          <xdr:row>4</xdr:row>
          <xdr:rowOff>314325</xdr:rowOff>
        </xdr:from>
        <xdr:to>
          <xdr:col>22</xdr:col>
          <xdr:colOff>485775</xdr:colOff>
          <xdr:row>4</xdr:row>
          <xdr:rowOff>514350</xdr:rowOff>
        </xdr:to>
        <xdr:sp macro="" textlink="">
          <xdr:nvSpPr>
            <xdr:cNvPr id="106514" name="Drop Down 18" hidden="1">
              <a:extLst>
                <a:ext uri="{63B3BB69-23CF-44E3-9099-C40C66FF867C}">
                  <a14:compatExt spid="_x0000_s106514"/>
                </a:ext>
              </a:extLst>
            </xdr:cNvPr>
            <xdr:cNvSpPr/>
          </xdr:nvSpPr>
          <xdr:spPr>
            <a:xfrm>
              <a:off x="0" y="0"/>
              <a:ext cx="0" cy="0"/>
            </a:xfrm>
            <a:prstGeom prst="rect">
              <a:avLst/>
            </a:prstGeom>
          </xdr:spPr>
        </xdr:sp>
        <xdr:clientData/>
      </xdr:twoCellAnchor>
    </mc:Choice>
    <mc:Fallback/>
  </mc:AlternateContent>
  <xdr:twoCellAnchor>
    <xdr:from>
      <xdr:col>0</xdr:col>
      <xdr:colOff>0</xdr:colOff>
      <xdr:row>5</xdr:row>
      <xdr:rowOff>9525</xdr:rowOff>
    </xdr:from>
    <xdr:to>
      <xdr:col>18</xdr:col>
      <xdr:colOff>647700</xdr:colOff>
      <xdr:row>5</xdr:row>
      <xdr:rowOff>342900</xdr:rowOff>
    </xdr:to>
    <xdr:graphicFrame macro="">
      <xdr:nvGraphicFramePr>
        <xdr:cNvPr id="106515" name="Gráfico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21</xdr:col>
          <xdr:colOff>66675</xdr:colOff>
          <xdr:row>5</xdr:row>
          <xdr:rowOff>409575</xdr:rowOff>
        </xdr:from>
        <xdr:to>
          <xdr:col>22</xdr:col>
          <xdr:colOff>504825</xdr:colOff>
          <xdr:row>6</xdr:row>
          <xdr:rowOff>85725</xdr:rowOff>
        </xdr:to>
        <xdr:sp macro="" textlink="">
          <xdr:nvSpPr>
            <xdr:cNvPr id="106516" name="Drop Down 20" hidden="1">
              <a:extLst>
                <a:ext uri="{63B3BB69-23CF-44E3-9099-C40C66FF867C}">
                  <a14:compatExt spid="_x0000_s106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0</xdr:row>
          <xdr:rowOff>66675</xdr:rowOff>
        </xdr:from>
        <xdr:to>
          <xdr:col>12</xdr:col>
          <xdr:colOff>628650</xdr:colOff>
          <xdr:row>0</xdr:row>
          <xdr:rowOff>314325</xdr:rowOff>
        </xdr:to>
        <xdr:sp macro="" textlink="">
          <xdr:nvSpPr>
            <xdr:cNvPr id="106517" name="Button 21" hidden="1">
              <a:extLst>
                <a:ext uri="{63B3BB69-23CF-44E3-9099-C40C66FF867C}">
                  <a14:compatExt spid="_x0000_s1065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900" b="1" i="0" u="none" strike="noStrike" baseline="0">
                  <a:solidFill>
                    <a:srgbClr val="3366FF"/>
                  </a:solidFill>
                  <a:latin typeface="Arial"/>
                  <a:cs typeface="Arial"/>
                </a:rPr>
                <a: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885825</xdr:colOff>
          <xdr:row>3</xdr:row>
          <xdr:rowOff>276225</xdr:rowOff>
        </xdr:to>
        <xdr:sp macro="" textlink="">
          <xdr:nvSpPr>
            <xdr:cNvPr id="106518" name="Button 22" hidden="1">
              <a:extLst>
                <a:ext uri="{63B3BB69-23CF-44E3-9099-C40C66FF867C}">
                  <a14:compatExt spid="_x0000_s1065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Freeze →</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66675</xdr:colOff>
          <xdr:row>5</xdr:row>
          <xdr:rowOff>85725</xdr:rowOff>
        </xdr:from>
        <xdr:to>
          <xdr:col>22</xdr:col>
          <xdr:colOff>504825</xdr:colOff>
          <xdr:row>5</xdr:row>
          <xdr:rowOff>285750</xdr:rowOff>
        </xdr:to>
        <xdr:sp macro="" textlink="">
          <xdr:nvSpPr>
            <xdr:cNvPr id="106520" name="Drop Down 24" hidden="1">
              <a:extLst>
                <a:ext uri="{63B3BB69-23CF-44E3-9099-C40C66FF867C}">
                  <a14:compatExt spid="_x0000_s106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228600</xdr:colOff>
          <xdr:row>7</xdr:row>
          <xdr:rowOff>28575</xdr:rowOff>
        </xdr:from>
        <xdr:to>
          <xdr:col>101</xdr:col>
          <xdr:colOff>609600</xdr:colOff>
          <xdr:row>9</xdr:row>
          <xdr:rowOff>0</xdr:rowOff>
        </xdr:to>
        <xdr:sp macro="" textlink="">
          <xdr:nvSpPr>
            <xdr:cNvPr id="106521" name="NETComm1" hidden="1">
              <a:extLst>
                <a:ext uri="{63B3BB69-23CF-44E3-9099-C40C66FF867C}">
                  <a14:compatExt spid="_x0000_s10652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59</xdr:col>
          <xdr:colOff>161925</xdr:colOff>
          <xdr:row>37</xdr:row>
          <xdr:rowOff>133350</xdr:rowOff>
        </xdr:from>
        <xdr:to>
          <xdr:col>63</xdr:col>
          <xdr:colOff>238125</xdr:colOff>
          <xdr:row>39</xdr:row>
          <xdr:rowOff>95250</xdr:rowOff>
        </xdr:to>
        <xdr:sp macro="" textlink="">
          <xdr:nvSpPr>
            <xdr:cNvPr id="95234" name="CommandButton2" hidden="1">
              <a:extLst>
                <a:ext uri="{63B3BB69-23CF-44E3-9099-C40C66FF867C}">
                  <a14:compatExt spid="_x0000_s95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58</xdr:col>
          <xdr:colOff>581025</xdr:colOff>
          <xdr:row>35</xdr:row>
          <xdr:rowOff>85725</xdr:rowOff>
        </xdr:from>
        <xdr:to>
          <xdr:col>63</xdr:col>
          <xdr:colOff>47625</xdr:colOff>
          <xdr:row>37</xdr:row>
          <xdr:rowOff>47625</xdr:rowOff>
        </xdr:to>
        <xdr:sp macro="" textlink="">
          <xdr:nvSpPr>
            <xdr:cNvPr id="95235" name="CommandButton3" hidden="1">
              <a:extLst>
                <a:ext uri="{63B3BB69-23CF-44E3-9099-C40C66FF867C}">
                  <a14:compatExt spid="_x0000_s9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xdr:row>
          <xdr:rowOff>38100</xdr:rowOff>
        </xdr:from>
        <xdr:to>
          <xdr:col>14</xdr:col>
          <xdr:colOff>95250</xdr:colOff>
          <xdr:row>2</xdr:row>
          <xdr:rowOff>85725</xdr:rowOff>
        </xdr:to>
        <xdr:sp macro="" textlink="">
          <xdr:nvSpPr>
            <xdr:cNvPr id="95237" name="NETComm1" hidden="1">
              <a:extLst>
                <a:ext uri="{63B3BB69-23CF-44E3-9099-C40C66FF867C}">
                  <a14:compatExt spid="_x0000_s95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266700</xdr:colOff>
          <xdr:row>33</xdr:row>
          <xdr:rowOff>66675</xdr:rowOff>
        </xdr:from>
        <xdr:to>
          <xdr:col>62</xdr:col>
          <xdr:colOff>428625</xdr:colOff>
          <xdr:row>34</xdr:row>
          <xdr:rowOff>247650</xdr:rowOff>
        </xdr:to>
        <xdr:sp macro="" textlink="">
          <xdr:nvSpPr>
            <xdr:cNvPr id="95238" name="CommandButton5" hidden="1">
              <a:extLst>
                <a:ext uri="{63B3BB69-23CF-44E3-9099-C40C66FF867C}">
                  <a14:compatExt spid="_x0000_s95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352425</xdr:colOff>
          <xdr:row>1</xdr:row>
          <xdr:rowOff>133350</xdr:rowOff>
        </xdr:from>
        <xdr:to>
          <xdr:col>8</xdr:col>
          <xdr:colOff>485775</xdr:colOff>
          <xdr:row>2</xdr:row>
          <xdr:rowOff>152400</xdr:rowOff>
        </xdr:to>
        <xdr:sp macro="" textlink="">
          <xdr:nvSpPr>
            <xdr:cNvPr id="95239" name="Button 7" hidden="1">
              <a:extLst>
                <a:ext uri="{63B3BB69-23CF-44E3-9099-C40C66FF867C}">
                  <a14:compatExt spid="_x0000_s95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crear tramos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xdr:row>
          <xdr:rowOff>295275</xdr:rowOff>
        </xdr:from>
        <xdr:to>
          <xdr:col>8</xdr:col>
          <xdr:colOff>523875</xdr:colOff>
          <xdr:row>4</xdr:row>
          <xdr:rowOff>0</xdr:rowOff>
        </xdr:to>
        <xdr:sp macro="" textlink="">
          <xdr:nvSpPr>
            <xdr:cNvPr id="95243" name="Button 11" hidden="1">
              <a:extLst>
                <a:ext uri="{63B3BB69-23CF-44E3-9099-C40C66FF867C}">
                  <a14:compatExt spid="_x0000_s95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copiar tiempos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xdr:row>
          <xdr:rowOff>0</xdr:rowOff>
        </xdr:from>
        <xdr:to>
          <xdr:col>5</xdr:col>
          <xdr:colOff>495300</xdr:colOff>
          <xdr:row>4</xdr:row>
          <xdr:rowOff>28575</xdr:rowOff>
        </xdr:to>
        <xdr:sp macro="" textlink="">
          <xdr:nvSpPr>
            <xdr:cNvPr id="95247" name="Button 15" hidden="1">
              <a:extLst>
                <a:ext uri="{63B3BB69-23CF-44E3-9099-C40C66FF867C}">
                  <a14:compatExt spid="_x0000_s952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Desconectar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438150</xdr:colOff>
          <xdr:row>1</xdr:row>
          <xdr:rowOff>152400</xdr:rowOff>
        </xdr:from>
        <xdr:to>
          <xdr:col>5</xdr:col>
          <xdr:colOff>485775</xdr:colOff>
          <xdr:row>2</xdr:row>
          <xdr:rowOff>123825</xdr:rowOff>
        </xdr:to>
        <xdr:sp macro="" textlink="">
          <xdr:nvSpPr>
            <xdr:cNvPr id="95248" name="Button 16" hidden="1">
              <a:extLst>
                <a:ext uri="{63B3BB69-23CF-44E3-9099-C40C66FF867C}">
                  <a14:compatExt spid="_x0000_s952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Conectar/Resetear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0</xdr:row>
          <xdr:rowOff>161925</xdr:rowOff>
        </xdr:from>
        <xdr:to>
          <xdr:col>13</xdr:col>
          <xdr:colOff>133350</xdr:colOff>
          <xdr:row>2</xdr:row>
          <xdr:rowOff>276225</xdr:rowOff>
        </xdr:to>
        <xdr:sp macro="" textlink="">
          <xdr:nvSpPr>
            <xdr:cNvPr id="95249" name="Object 17" hidden="1">
              <a:extLst>
                <a:ext uri="{63B3BB69-23CF-44E3-9099-C40C66FF867C}">
                  <a14:compatExt spid="_x0000_s9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1</xdr:row>
          <xdr:rowOff>161925</xdr:rowOff>
        </xdr:from>
        <xdr:to>
          <xdr:col>11</xdr:col>
          <xdr:colOff>133350</xdr:colOff>
          <xdr:row>2</xdr:row>
          <xdr:rowOff>152400</xdr:rowOff>
        </xdr:to>
        <xdr:sp macro="" textlink="">
          <xdr:nvSpPr>
            <xdr:cNvPr id="95250" name="Button 18" hidden="1">
              <a:extLst>
                <a:ext uri="{63B3BB69-23CF-44E3-9099-C40C66FF867C}">
                  <a14:compatExt spid="_x0000_s95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Calibración automática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133350</xdr:colOff>
          <xdr:row>2</xdr:row>
          <xdr:rowOff>295275</xdr:rowOff>
        </xdr:from>
        <xdr:to>
          <xdr:col>11</xdr:col>
          <xdr:colOff>171450</xdr:colOff>
          <xdr:row>4</xdr:row>
          <xdr:rowOff>66675</xdr:rowOff>
        </xdr:to>
        <xdr:sp macro="" textlink="">
          <xdr:nvSpPr>
            <xdr:cNvPr id="95251" name="Button 19" hidden="1">
              <a:extLst>
                <a:ext uri="{63B3BB69-23CF-44E3-9099-C40C66FF867C}">
                  <a14:compatExt spid="_x0000_s952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FIN calibracion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247650</xdr:colOff>
          <xdr:row>16</xdr:row>
          <xdr:rowOff>133350</xdr:rowOff>
        </xdr:from>
        <xdr:to>
          <xdr:col>4</xdr:col>
          <xdr:colOff>466725</xdr:colOff>
          <xdr:row>17</xdr:row>
          <xdr:rowOff>152400</xdr:rowOff>
        </xdr:to>
        <xdr:sp macro="" textlink="">
          <xdr:nvSpPr>
            <xdr:cNvPr id="95252" name="Drop Down 20" hidden="1">
              <a:extLst>
                <a:ext uri="{63B3BB69-23CF-44E3-9099-C40C66FF867C}">
                  <a14:compatExt spid="_x0000_s95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xdr:row>
          <xdr:rowOff>180975</xdr:rowOff>
        </xdr:from>
        <xdr:to>
          <xdr:col>18</xdr:col>
          <xdr:colOff>190500</xdr:colOff>
          <xdr:row>5</xdr:row>
          <xdr:rowOff>123825</xdr:rowOff>
        </xdr:to>
        <xdr:sp macro="" textlink="">
          <xdr:nvSpPr>
            <xdr:cNvPr id="95254" name="NETComm1" hidden="1">
              <a:extLst>
                <a:ext uri="{63B3BB69-23CF-44E3-9099-C40C66FF867C}">
                  <a14:compatExt spid="_x0000_s9525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ctrlProp" Target="../ctrlProps/ctrlProp10.xml"/><Relationship Id="rId23" Type="http://schemas.openxmlformats.org/officeDocument/2006/relationships/ctrlProp" Target="../ctrlProps/ctrlProp18.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trlProp" Target="../ctrlProps/ctrlProp21.xml"/><Relationship Id="rId3" Type="http://schemas.openxmlformats.org/officeDocument/2006/relationships/vmlDrawing" Target="../drawings/vmlDrawing2.vml"/><Relationship Id="rId21" Type="http://schemas.openxmlformats.org/officeDocument/2006/relationships/ctrlProp" Target="../ctrlProps/ctrlProp24.x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ctrlProp" Target="../ctrlProps/ctrlProp20.xml"/><Relationship Id="rId2" Type="http://schemas.openxmlformats.org/officeDocument/2006/relationships/drawing" Target="../drawings/drawing2.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ctrlProp" Target="../ctrlProps/ctrlProp22.xml"/><Relationship Id="rId4" Type="http://schemas.openxmlformats.org/officeDocument/2006/relationships/oleObject" Target="../embeddings/oleObject1.bin"/><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enableFormatConditionsCalculation="0">
    <tabColor indexed="61"/>
    <pageSetUpPr fitToPage="1"/>
  </sheetPr>
  <dimension ref="A1:IV473"/>
  <sheetViews>
    <sheetView showGridLines="0" workbookViewId="0">
      <pane ySplit="7" topLeftCell="A8" activePane="bottomLeft" state="frozen"/>
      <selection activeCell="H15" sqref="H15"/>
      <selection pane="bottomLeft" activeCell="B8" sqref="B8"/>
    </sheetView>
  </sheetViews>
  <sheetFormatPr baseColWidth="10" defaultRowHeight="12.75" x14ac:dyDescent="0.2"/>
  <cols>
    <col min="1" max="1" width="3" customWidth="1"/>
    <col min="2" max="2" width="10" customWidth="1"/>
    <col min="3" max="3" width="9.7109375" customWidth="1"/>
    <col min="4" max="4" width="13.5703125" customWidth="1"/>
    <col min="5" max="5" width="12.7109375" customWidth="1"/>
    <col min="6" max="7" width="4.5703125" hidden="1" customWidth="1"/>
    <col min="8" max="8" width="13.42578125" customWidth="1"/>
    <col min="9" max="9" width="15.42578125" customWidth="1"/>
    <col min="10" max="10" width="12.85546875" customWidth="1"/>
    <col min="11" max="11" width="6.7109375" hidden="1" customWidth="1"/>
    <col min="12" max="12" width="11.140625" hidden="1" customWidth="1"/>
    <col min="13" max="13" width="10.42578125" customWidth="1"/>
    <col min="14" max="14" width="7.5703125" hidden="1" customWidth="1"/>
    <col min="15" max="15" width="8.140625" hidden="1" customWidth="1"/>
    <col min="16" max="16" width="9.42578125" hidden="1" customWidth="1"/>
    <col min="17" max="17" width="8.28515625" hidden="1" customWidth="1"/>
    <col min="18" max="18" width="10.42578125" customWidth="1"/>
    <col min="19" max="19" width="10.140625" customWidth="1"/>
    <col min="20" max="20" width="6.7109375" hidden="1" customWidth="1"/>
    <col min="21" max="21" width="4.28515625" hidden="1" customWidth="1"/>
    <col min="22" max="22" width="10.5703125" customWidth="1"/>
    <col min="23" max="23" width="9.42578125" customWidth="1"/>
    <col min="24" max="24" width="6.85546875" customWidth="1"/>
    <col min="25" max="26" width="10.28515625" customWidth="1"/>
    <col min="27" max="27" width="11.5703125" customWidth="1"/>
    <col min="246" max="246" width="14.28515625" customWidth="1"/>
  </cols>
  <sheetData>
    <row r="1" spans="1:256" ht="28.5" customHeight="1" thickBot="1" x14ac:dyDescent="0.3">
      <c r="A1" s="76" t="s">
        <v>34</v>
      </c>
      <c r="B1" s="287">
        <f ca="1">NOW()-IS2</f>
        <v>41004.967182175926</v>
      </c>
      <c r="C1" s="288"/>
      <c r="D1" s="300"/>
      <c r="E1" s="301"/>
      <c r="F1" s="253"/>
      <c r="G1" s="253"/>
      <c r="H1" s="254"/>
      <c r="I1" s="295"/>
      <c r="J1" s="295"/>
      <c r="K1" s="255"/>
      <c r="L1" s="255"/>
      <c r="M1" s="256"/>
      <c r="N1" s="257"/>
      <c r="O1" s="258"/>
      <c r="P1" s="258"/>
      <c r="Q1" s="259"/>
      <c r="R1" s="260" t="s">
        <v>59</v>
      </c>
      <c r="S1" s="279">
        <f ca="1">IF(B1-B8&gt;=0,B1-B8,B8-B1)</f>
        <v>5.2800578698224854E-2</v>
      </c>
      <c r="T1" s="261"/>
      <c r="U1" s="262"/>
      <c r="V1" s="263"/>
      <c r="W1" s="264"/>
      <c r="X1" s="78"/>
      <c r="Y1" s="3"/>
      <c r="Z1" s="3"/>
      <c r="AA1" s="65"/>
      <c r="AB1" s="65"/>
      <c r="AC1" s="65"/>
      <c r="AD1" s="65"/>
      <c r="BB1">
        <v>0</v>
      </c>
      <c r="BH1" s="67">
        <f ca="1">NOW()</f>
        <v>41004.96718796296</v>
      </c>
      <c r="BI1" s="20">
        <f ca="1">NOW()</f>
        <v>41004.96718796296</v>
      </c>
      <c r="BM1" s="4"/>
      <c r="BN1" s="3"/>
      <c r="IJ1" s="35"/>
      <c r="IL1" s="112" t="s">
        <v>41</v>
      </c>
      <c r="IM1" s="113">
        <v>1</v>
      </c>
      <c r="IN1" s="113">
        <v>0.997</v>
      </c>
      <c r="IO1" s="26"/>
      <c r="IP1" s="20">
        <f ca="1">NOW()</f>
        <v>41004.96718796296</v>
      </c>
      <c r="IQ1" s="84">
        <v>1</v>
      </c>
      <c r="IR1" s="114">
        <f>MIN(T6:T199)</f>
        <v>999</v>
      </c>
      <c r="IS1" s="115">
        <f ca="1">MAX(L5:L179)</f>
        <v>2.1961602720991673E-2</v>
      </c>
      <c r="IT1" s="116">
        <v>5.0868489778868676E-3</v>
      </c>
      <c r="IU1" s="117">
        <v>999</v>
      </c>
      <c r="IV1" s="118">
        <v>1.273148148148148E-4</v>
      </c>
    </row>
    <row r="2" spans="1:256" ht="27" customHeight="1" thickTop="1" thickBot="1" x14ac:dyDescent="0.45">
      <c r="A2" s="291" t="s">
        <v>60</v>
      </c>
      <c r="B2" s="292"/>
      <c r="C2" s="119">
        <f ca="1">VLOOKUP(I2,C8:Q45,15)</f>
        <v>0</v>
      </c>
      <c r="D2" s="296">
        <f>((H4*Parametros!C10/1000)*$IO$5)+W2/1000-IT3+IT2</f>
        <v>8</v>
      </c>
      <c r="E2" s="297"/>
      <c r="F2" s="99"/>
      <c r="G2" s="99"/>
      <c r="H2" s="43"/>
      <c r="I2" s="296">
        <f ca="1">SUM(O8:O202)</f>
        <v>57.306094059662428</v>
      </c>
      <c r="J2" s="297"/>
      <c r="K2" s="99"/>
      <c r="L2" s="99"/>
      <c r="M2" s="43"/>
      <c r="N2" s="111"/>
      <c r="O2" s="51"/>
      <c r="P2" s="51"/>
      <c r="Q2" s="104"/>
      <c r="R2" s="82" t="s">
        <v>61</v>
      </c>
      <c r="S2" s="44">
        <f>MAX(J8:J202)</f>
        <v>0.31825789901728796</v>
      </c>
      <c r="T2" s="63"/>
      <c r="U2" s="88"/>
      <c r="V2" s="120" t="s">
        <v>62</v>
      </c>
      <c r="W2" s="265">
        <v>5</v>
      </c>
      <c r="X2" s="29"/>
      <c r="Y2" s="3"/>
      <c r="Z2" s="41"/>
      <c r="AA2" s="4"/>
      <c r="BM2" s="4"/>
      <c r="BN2" s="4"/>
      <c r="IJ2" s="35"/>
      <c r="IL2" s="35" t="s">
        <v>40</v>
      </c>
      <c r="IM2" s="4">
        <v>2</v>
      </c>
      <c r="IN2" s="4">
        <v>0.998</v>
      </c>
      <c r="IO2" s="27"/>
      <c r="IP2" t="s">
        <v>0</v>
      </c>
      <c r="IR2" s="224" t="s">
        <v>1</v>
      </c>
      <c r="IS2" s="278">
        <v>5.7870370370370367E-6</v>
      </c>
      <c r="IT2" s="225">
        <v>8</v>
      </c>
      <c r="IV2" s="123">
        <f>TRUNC(D2+0.09,1)</f>
        <v>8</v>
      </c>
    </row>
    <row r="3" spans="1:256" ht="30.75" customHeight="1" thickTop="1" thickBot="1" x14ac:dyDescent="0.35">
      <c r="A3" s="293" t="s">
        <v>35</v>
      </c>
      <c r="B3" s="294"/>
      <c r="C3" s="121" t="str">
        <f>IF((MIN(T8:T101))&gt;100,"fin",(MIN(T8:T101)))</f>
        <v>fin</v>
      </c>
      <c r="D3" s="298"/>
      <c r="E3" s="299"/>
      <c r="F3" s="99"/>
      <c r="G3" s="99"/>
      <c r="H3" s="85" t="s">
        <v>50</v>
      </c>
      <c r="I3" s="298"/>
      <c r="J3" s="299"/>
      <c r="K3" s="99"/>
      <c r="L3" s="99"/>
      <c r="M3" s="122" t="s">
        <v>51</v>
      </c>
      <c r="N3" s="111"/>
      <c r="O3" s="51"/>
      <c r="P3" s="51"/>
      <c r="Q3" s="104"/>
      <c r="R3" s="228" t="str">
        <f>"tiempo real en km "&amp;( IV4-0.1)</f>
        <v>tiempo real en km 8</v>
      </c>
      <c r="S3" s="230">
        <v>7.854513889469672E-3</v>
      </c>
      <c r="T3" s="63"/>
      <c r="U3" s="45"/>
      <c r="V3" s="105"/>
      <c r="W3" s="266"/>
      <c r="X3" s="29"/>
      <c r="Y3" s="3"/>
      <c r="Z3" s="41"/>
      <c r="AA3" s="4"/>
      <c r="BM3" s="4"/>
      <c r="BN3" s="4"/>
      <c r="IJ3" s="35"/>
      <c r="IL3" s="35" t="s">
        <v>49</v>
      </c>
      <c r="IM3" s="4">
        <v>3</v>
      </c>
      <c r="IN3" s="4">
        <v>0.999</v>
      </c>
      <c r="IO3" s="27"/>
      <c r="IR3" s="22" t="s">
        <v>63</v>
      </c>
      <c r="IS3" s="113"/>
      <c r="IT3" s="226">
        <v>0.17519000000000001</v>
      </c>
      <c r="IV3" s="123">
        <f>TRUNC(D2+0.1,1)</f>
        <v>8.1</v>
      </c>
    </row>
    <row r="4" spans="1:256" ht="24" customHeight="1" thickTop="1" thickBot="1" x14ac:dyDescent="0.45">
      <c r="A4" s="267" t="s">
        <v>89</v>
      </c>
      <c r="B4" s="211"/>
      <c r="C4" s="212">
        <f>((Parametros!C8*IO17/1000)*$IO$5)</f>
        <v>0.17019000000000001</v>
      </c>
      <c r="D4" s="213"/>
      <c r="E4" s="214">
        <v>0.17519000000000001</v>
      </c>
      <c r="F4" s="124"/>
      <c r="G4" s="124"/>
      <c r="H4" s="275">
        <f>Parametros!C8</f>
        <v>93</v>
      </c>
      <c r="I4" s="178" t="s">
        <v>90</v>
      </c>
      <c r="J4" s="179"/>
      <c r="K4" s="125"/>
      <c r="L4" s="125"/>
      <c r="M4" s="180">
        <f>IV3</f>
        <v>8.1</v>
      </c>
      <c r="N4" s="126"/>
      <c r="O4" s="126"/>
      <c r="P4" s="126"/>
      <c r="Q4" s="127"/>
      <c r="R4" s="284">
        <f ca="1">IF(C5&lt;=0,0,(IV3/C5/24))</f>
        <v>5.3460585931952659E-2</v>
      </c>
      <c r="S4" s="285"/>
      <c r="T4" s="63"/>
      <c r="U4" s="45"/>
      <c r="V4" s="105"/>
      <c r="W4" s="268"/>
      <c r="X4" s="223"/>
      <c r="Y4" s="3"/>
      <c r="Z4" s="41"/>
      <c r="AA4" s="4"/>
      <c r="IJ4" s="22"/>
      <c r="IK4" s="24"/>
      <c r="IL4" s="83" t="s">
        <v>20</v>
      </c>
      <c r="IM4" s="7">
        <v>4</v>
      </c>
      <c r="IN4" s="23">
        <v>1</v>
      </c>
      <c r="IO4" s="27">
        <v>4</v>
      </c>
      <c r="IP4" s="22" t="s">
        <v>38</v>
      </c>
      <c r="IQ4" s="113"/>
      <c r="IR4" s="84" t="s">
        <v>64</v>
      </c>
      <c r="IS4" s="28"/>
      <c r="IV4" s="227">
        <f>IV3</f>
        <v>8.1</v>
      </c>
    </row>
    <row r="5" spans="1:256" ht="45" customHeight="1" thickTop="1" thickBot="1" x14ac:dyDescent="0.75">
      <c r="A5" s="267" t="s">
        <v>58</v>
      </c>
      <c r="B5" s="216"/>
      <c r="C5" s="107">
        <f ca="1">D2/S1/24</f>
        <v>6.3130621207479294</v>
      </c>
      <c r="D5" s="181" t="s">
        <v>65</v>
      </c>
      <c r="E5" s="215">
        <f ca="1">IF((MAX(R8:R45))&lt;0,"...",(MAX(R8:R45)))</f>
        <v>0</v>
      </c>
      <c r="F5" s="128"/>
      <c r="G5" s="129"/>
      <c r="H5" s="282">
        <f ca="1">D2-I2</f>
        <v>-49.306094059662428</v>
      </c>
      <c r="I5" s="283"/>
      <c r="J5" s="130" t="s">
        <v>48</v>
      </c>
      <c r="K5" s="100"/>
      <c r="L5" s="100"/>
      <c r="M5" s="131">
        <f ca="1">VLOOKUP(I2,C8:H37,6)</f>
        <v>45</v>
      </c>
      <c r="N5" s="132"/>
      <c r="O5" s="133"/>
      <c r="P5" s="133"/>
      <c r="Q5" s="134"/>
      <c r="R5" s="110" t="s">
        <v>27</v>
      </c>
      <c r="S5" s="229">
        <f ca="1">IF((MAX(P8:P202))&lt;0,0,(MAX(P8:P202)))</f>
        <v>0.26545153328037552</v>
      </c>
      <c r="T5" s="63"/>
      <c r="U5" s="63"/>
      <c r="V5" s="106"/>
      <c r="W5" s="269"/>
      <c r="AA5" s="9"/>
      <c r="AB5" s="3"/>
      <c r="AC5" s="4"/>
      <c r="AD5" s="4"/>
      <c r="AE5" s="3"/>
      <c r="AF5" s="4"/>
      <c r="AG5" s="4"/>
      <c r="BI5" s="135" t="s">
        <v>31</v>
      </c>
      <c r="BJ5" s="136"/>
      <c r="IJ5" s="35"/>
      <c r="IK5" s="7"/>
      <c r="IL5" s="35" t="s">
        <v>26</v>
      </c>
      <c r="IM5" s="7">
        <v>5</v>
      </c>
      <c r="IN5" s="23">
        <v>1.0009999999999999</v>
      </c>
      <c r="IO5" s="27">
        <f>VLOOKUP(IO4,IM1:IN7,2)</f>
        <v>1</v>
      </c>
      <c r="IP5" s="83" t="s">
        <v>39</v>
      </c>
      <c r="IQ5" s="27">
        <v>3</v>
      </c>
      <c r="IR5" s="30" t="s">
        <v>28</v>
      </c>
      <c r="IS5" s="137">
        <v>3</v>
      </c>
      <c r="IT5" s="22" t="s">
        <v>92</v>
      </c>
      <c r="IU5" s="26">
        <v>1</v>
      </c>
      <c r="IV5">
        <v>2</v>
      </c>
    </row>
    <row r="6" spans="1:256" ht="41.25" customHeight="1" thickTop="1" x14ac:dyDescent="0.2">
      <c r="A6" s="47" t="s">
        <v>8</v>
      </c>
      <c r="B6" s="47" t="s">
        <v>33</v>
      </c>
      <c r="C6" s="138" t="s">
        <v>3</v>
      </c>
      <c r="D6" s="138" t="s">
        <v>3</v>
      </c>
      <c r="E6" s="48"/>
      <c r="F6" s="102"/>
      <c r="G6" s="103"/>
      <c r="H6" s="47" t="s">
        <v>6</v>
      </c>
      <c r="I6" s="47" t="s">
        <v>2</v>
      </c>
      <c r="J6" s="47" t="s">
        <v>16</v>
      </c>
      <c r="K6" s="89" t="s">
        <v>21</v>
      </c>
      <c r="L6" s="101" t="s">
        <v>19</v>
      </c>
      <c r="M6" s="47" t="s">
        <v>30</v>
      </c>
      <c r="N6" s="89" t="s">
        <v>56</v>
      </c>
      <c r="O6" s="90" t="s">
        <v>3</v>
      </c>
      <c r="P6" s="49" t="s">
        <v>12</v>
      </c>
      <c r="Q6" s="139" t="s">
        <v>53</v>
      </c>
      <c r="R6" s="289" t="s">
        <v>52</v>
      </c>
      <c r="S6" s="86" t="s">
        <v>18</v>
      </c>
      <c r="T6" s="87" t="s">
        <v>53</v>
      </c>
      <c r="U6" s="50"/>
      <c r="V6" s="46"/>
      <c r="W6" s="270"/>
      <c r="AA6" s="8"/>
      <c r="AB6" s="3"/>
      <c r="AC6" s="4"/>
      <c r="AD6" s="4"/>
      <c r="AE6" s="3"/>
      <c r="AF6" s="4"/>
      <c r="AG6" s="4"/>
      <c r="BI6" s="140" t="s">
        <v>32</v>
      </c>
      <c r="BJ6" s="141">
        <v>1</v>
      </c>
      <c r="IJ6" s="35"/>
      <c r="IK6" s="7"/>
      <c r="IL6" s="35" t="s">
        <v>24</v>
      </c>
      <c r="IM6" s="7">
        <v>6</v>
      </c>
      <c r="IN6" s="23">
        <v>1.002</v>
      </c>
      <c r="IO6" s="27"/>
      <c r="IP6" s="83" t="s">
        <v>66</v>
      </c>
      <c r="IQ6" s="27"/>
      <c r="IR6" s="31" t="s">
        <v>29</v>
      </c>
      <c r="IS6" s="32"/>
      <c r="IT6" s="83" t="s">
        <v>93</v>
      </c>
      <c r="IU6" s="27"/>
    </row>
    <row r="7" spans="1:256" ht="12.75" customHeight="1" thickBot="1" x14ac:dyDescent="0.25">
      <c r="A7" s="142" t="s">
        <v>9</v>
      </c>
      <c r="B7" s="142" t="s">
        <v>11</v>
      </c>
      <c r="C7" s="143" t="s">
        <v>14</v>
      </c>
      <c r="D7" s="142" t="s">
        <v>15</v>
      </c>
      <c r="E7" s="144"/>
      <c r="F7" s="145"/>
      <c r="G7" s="146"/>
      <c r="H7" s="142" t="s">
        <v>5</v>
      </c>
      <c r="I7" s="142" t="s">
        <v>10</v>
      </c>
      <c r="J7" s="142" t="s">
        <v>4</v>
      </c>
      <c r="K7" s="147" t="s">
        <v>22</v>
      </c>
      <c r="L7" s="148">
        <f ca="1">IF(B1&gt;=B8-$IV1,$IV1,0)</f>
        <v>1.273148148148148E-4</v>
      </c>
      <c r="M7" s="142" t="s">
        <v>11</v>
      </c>
      <c r="N7" s="147" t="s">
        <v>11</v>
      </c>
      <c r="O7" s="149" t="s">
        <v>7</v>
      </c>
      <c r="P7" s="150" t="s">
        <v>13</v>
      </c>
      <c r="Q7" s="151" t="s">
        <v>54</v>
      </c>
      <c r="R7" s="290"/>
      <c r="S7" s="152" t="s">
        <v>17</v>
      </c>
      <c r="T7" s="153" t="s">
        <v>55</v>
      </c>
      <c r="U7" s="154"/>
      <c r="V7" s="155"/>
      <c r="W7" s="271"/>
      <c r="X7" s="2"/>
      <c r="Y7" s="2"/>
      <c r="Z7" s="2"/>
      <c r="AA7" s="19"/>
      <c r="AB7" s="3"/>
      <c r="AC7" s="4"/>
      <c r="AD7" s="4"/>
      <c r="AE7" s="3"/>
      <c r="AF7" s="4"/>
      <c r="AG7" s="4"/>
      <c r="IJ7" s="35"/>
      <c r="IK7" s="25"/>
      <c r="IL7" s="35" t="s">
        <v>25</v>
      </c>
      <c r="IM7" s="7">
        <v>7</v>
      </c>
      <c r="IN7" s="23">
        <v>1.0029999999999999</v>
      </c>
      <c r="IO7" s="27"/>
      <c r="IP7" s="84"/>
      <c r="IQ7" s="28"/>
      <c r="IR7" s="33" t="s">
        <v>23</v>
      </c>
      <c r="IS7" s="34"/>
      <c r="IT7" s="84"/>
      <c r="IU7" s="28"/>
      <c r="IV7" s="276">
        <v>8.1</v>
      </c>
    </row>
    <row r="8" spans="1:256" ht="15.95" customHeight="1" x14ac:dyDescent="0.25">
      <c r="A8" s="156">
        <v>1</v>
      </c>
      <c r="B8" s="68">
        <v>41004.914381597227</v>
      </c>
      <c r="C8" s="157">
        <v>0</v>
      </c>
      <c r="D8" s="217">
        <v>0.3</v>
      </c>
      <c r="E8" s="218">
        <v>49.9</v>
      </c>
      <c r="F8" s="93">
        <f t="shared" ref="F8:F15" si="0">INT(E8/1000)*1000</f>
        <v>0</v>
      </c>
      <c r="G8" s="93">
        <f t="shared" ref="G8:G15" si="1">MOD(E8,1000)</f>
        <v>49.9</v>
      </c>
      <c r="H8" s="52">
        <f t="shared" ref="H8:H15" si="2">IF(IS$5=3,E8,((D8-C8)/I8/24))</f>
        <v>49.9</v>
      </c>
      <c r="I8" s="53">
        <f>IF($IS$5=1,(G8/864000+F8/1440000),IF($IS$5=2,J8,((D8-C8)/H8)/24))</f>
        <v>2.50501002004008E-4</v>
      </c>
      <c r="J8" s="54">
        <f>IF($IS$5=2,(G8/864000+F8/1440000),I8)</f>
        <v>2.50501002004008E-4</v>
      </c>
      <c r="K8" s="96">
        <f>H8</f>
        <v>49.9</v>
      </c>
      <c r="L8" s="97">
        <f t="shared" ref="L8:L15" ca="1" si="3">IF($B$1&gt;=(M8-$IV$1),J8,0)</f>
        <v>2.50501002004008E-4</v>
      </c>
      <c r="M8" s="55">
        <f t="shared" ref="M8:M15" si="4">B8+I8</f>
        <v>41004.914632098233</v>
      </c>
      <c r="N8" s="158">
        <f t="shared" ref="N8:N15" ca="1" si="5">IF((NOW()-B8)&gt;I8,0,(NOW()-B8))</f>
        <v>0</v>
      </c>
      <c r="O8" s="91">
        <f ca="1">(IF((($B$1-B8)*H8*24)&lt;0,0,IF((($B$1-B8)*H8*24)&gt;(D8),(D8),(($B$1-B8)*(H8*24)))))</f>
        <v>0.3</v>
      </c>
      <c r="P8" s="92">
        <f t="shared" ref="P8:P15" ca="1" si="6">IF((I8-(NOW()-B8))&lt;I8,(I8-(NOW()-B8)),0)</f>
        <v>-5.2555864730972693E-2</v>
      </c>
      <c r="Q8" s="159">
        <f t="shared" ref="Q8:Q15" si="7">H9</f>
        <v>43</v>
      </c>
      <c r="R8" s="160">
        <f t="shared" ref="R8:R15" ca="1" si="8">IF($B$1&lt;B8,0,IF($B$1&gt;M8,0,(($D$2-C8))/($B$1-B8)/24))</f>
        <v>0</v>
      </c>
      <c r="S8" s="220">
        <v>0.4</v>
      </c>
      <c r="T8" s="42">
        <f>IF($D$2&gt;=(S8-0.1),999,S8)</f>
        <v>999</v>
      </c>
      <c r="U8" s="56"/>
      <c r="V8" s="281"/>
      <c r="W8" s="281"/>
      <c r="X8" s="2"/>
      <c r="Y8" s="2"/>
      <c r="Z8" s="2"/>
      <c r="AA8" s="21"/>
      <c r="AF8" s="4"/>
      <c r="AG8" s="4"/>
      <c r="IL8" s="163" t="str">
        <f>$IN$18&amp;"(-0,010)"</f>
        <v>1,83(-0,010)</v>
      </c>
      <c r="IM8" s="113">
        <v>1</v>
      </c>
      <c r="IN8" s="161">
        <f t="shared" ref="IN8:IN17" si="9">IN9-0.001</f>
        <v>1.8200000000000012</v>
      </c>
      <c r="IO8" s="26"/>
    </row>
    <row r="9" spans="1:256" ht="15.95" customHeight="1" x14ac:dyDescent="0.25">
      <c r="A9" s="57">
        <v>2</v>
      </c>
      <c r="B9" s="58">
        <f t="shared" ref="B9:B15" si="10">$B8+I8</f>
        <v>41004.914632098233</v>
      </c>
      <c r="C9" s="59">
        <f t="shared" ref="C9:C15" si="11">D8</f>
        <v>0.3</v>
      </c>
      <c r="D9" s="219">
        <v>0.8</v>
      </c>
      <c r="E9" s="218">
        <v>43</v>
      </c>
      <c r="F9" s="93">
        <f t="shared" si="0"/>
        <v>0</v>
      </c>
      <c r="G9" s="93">
        <f t="shared" si="1"/>
        <v>43</v>
      </c>
      <c r="H9" s="52">
        <f t="shared" si="2"/>
        <v>43</v>
      </c>
      <c r="I9" s="60">
        <f t="shared" ref="I9:I15" si="12">IF($IS$5=1,(G9/864000+F9/1440000),IF($IS$5=2,J9-J8,((D9-C9)/H9)/24))</f>
        <v>4.8449612403100775E-4</v>
      </c>
      <c r="J9" s="61">
        <f t="shared" ref="J9:J15" si="13">IF($IS$5=2,(G9/864000+F9/1440000),I9+J8)</f>
        <v>7.3499712603501579E-4</v>
      </c>
      <c r="K9" s="98">
        <f t="shared" ref="K9:K15" si="14">((J9-J8)*(D8-C8)/I8)+C9</f>
        <v>0.88023255813953494</v>
      </c>
      <c r="L9" s="97">
        <f t="shared" ca="1" si="3"/>
        <v>7.3499712603501579E-4</v>
      </c>
      <c r="M9" s="62">
        <f t="shared" si="4"/>
        <v>41004.915116594355</v>
      </c>
      <c r="N9" s="162">
        <f t="shared" ca="1" si="5"/>
        <v>0</v>
      </c>
      <c r="O9" s="94">
        <f t="shared" ref="O9:O15" ca="1" si="15">(IF((($B$1-B9)*H9*24)&lt;0,0,IF((($B$1-B9)*H9*24)&gt;(D9-D8),(D9-D8),(($B$1-B9)*(H9*24)))))</f>
        <v>0.5</v>
      </c>
      <c r="P9" s="95">
        <f t="shared" ca="1" si="6"/>
        <v>-5.2071368603733847E-2</v>
      </c>
      <c r="Q9" s="159">
        <f t="shared" si="7"/>
        <v>20</v>
      </c>
      <c r="R9" s="160">
        <f t="shared" ca="1" si="8"/>
        <v>0</v>
      </c>
      <c r="S9" s="221">
        <v>0.52</v>
      </c>
      <c r="T9" s="42">
        <f t="shared" ref="T9:T72" si="16">IF($D$2&gt;=(S9-0.1),999,S9)</f>
        <v>999</v>
      </c>
      <c r="U9" s="56"/>
      <c r="V9" s="286" t="str">
        <f>IP2</f>
        <v>17:52:33,1</v>
      </c>
      <c r="W9" s="286"/>
      <c r="X9" s="2"/>
      <c r="Y9" s="2"/>
      <c r="Z9" s="2"/>
      <c r="AA9" s="21"/>
      <c r="AF9" s="4"/>
      <c r="AG9" s="4"/>
      <c r="IL9" s="163" t="str">
        <f>$IN$18&amp;"(-0,009)"</f>
        <v>1,83(-0,009)</v>
      </c>
      <c r="IM9" s="4">
        <v>2</v>
      </c>
      <c r="IN9" s="164">
        <f t="shared" si="9"/>
        <v>1.8210000000000011</v>
      </c>
      <c r="IO9" s="27"/>
    </row>
    <row r="10" spans="1:256" ht="15.95" customHeight="1" x14ac:dyDescent="0.25">
      <c r="A10" s="57">
        <v>3</v>
      </c>
      <c r="B10" s="58">
        <f t="shared" si="10"/>
        <v>41004.915116594355</v>
      </c>
      <c r="C10" s="59">
        <f t="shared" si="11"/>
        <v>0.8</v>
      </c>
      <c r="D10" s="219">
        <v>1.2</v>
      </c>
      <c r="E10" s="218">
        <v>20</v>
      </c>
      <c r="F10" s="93">
        <f t="shared" si="0"/>
        <v>0</v>
      </c>
      <c r="G10" s="93">
        <f t="shared" si="1"/>
        <v>20</v>
      </c>
      <c r="H10" s="52">
        <f t="shared" si="2"/>
        <v>20</v>
      </c>
      <c r="I10" s="60">
        <f t="shared" si="12"/>
        <v>8.3333333333333317E-4</v>
      </c>
      <c r="J10" s="61">
        <f t="shared" si="13"/>
        <v>1.5683304593683491E-3</v>
      </c>
      <c r="K10" s="98">
        <f t="shared" si="14"/>
        <v>1.6600000000000001</v>
      </c>
      <c r="L10" s="97">
        <f t="shared" ca="1" si="3"/>
        <v>1.5683304593683491E-3</v>
      </c>
      <c r="M10" s="62">
        <f t="shared" si="4"/>
        <v>41004.915949927687</v>
      </c>
      <c r="N10" s="162">
        <f t="shared" ca="1" si="5"/>
        <v>0</v>
      </c>
      <c r="O10" s="94">
        <f t="shared" ca="1" si="15"/>
        <v>0.39999999999999991</v>
      </c>
      <c r="P10" s="95">
        <f t="shared" ca="1" si="6"/>
        <v>-5.1238035272205405E-2</v>
      </c>
      <c r="Q10" s="159">
        <f t="shared" si="7"/>
        <v>45</v>
      </c>
      <c r="R10" s="160">
        <f t="shared" ca="1" si="8"/>
        <v>0</v>
      </c>
      <c r="S10" s="221">
        <v>1</v>
      </c>
      <c r="T10" s="42">
        <f t="shared" si="16"/>
        <v>999</v>
      </c>
      <c r="U10" s="56"/>
      <c r="V10" s="280"/>
      <c r="W10" s="280"/>
      <c r="X10" s="2"/>
      <c r="Y10" s="2"/>
      <c r="Z10" s="2"/>
      <c r="AA10" s="21"/>
      <c r="AF10" s="4"/>
      <c r="AG10" s="4"/>
      <c r="IL10" s="163" t="str">
        <f>$IN$18&amp;"(-0,008)"</f>
        <v>1,83(-0,008)</v>
      </c>
      <c r="IM10" s="4">
        <v>3</v>
      </c>
      <c r="IN10" s="164">
        <f t="shared" si="9"/>
        <v>1.822000000000001</v>
      </c>
      <c r="IO10" s="27"/>
    </row>
    <row r="11" spans="1:256" ht="15.95" customHeight="1" x14ac:dyDescent="0.25">
      <c r="A11" s="57">
        <v>4</v>
      </c>
      <c r="B11" s="58">
        <f t="shared" si="10"/>
        <v>41004.915949927687</v>
      </c>
      <c r="C11" s="59">
        <f t="shared" si="11"/>
        <v>1.2</v>
      </c>
      <c r="D11" s="219">
        <v>5</v>
      </c>
      <c r="E11" s="218">
        <v>45</v>
      </c>
      <c r="F11" s="93">
        <f t="shared" si="0"/>
        <v>0</v>
      </c>
      <c r="G11" s="93">
        <f t="shared" si="1"/>
        <v>45</v>
      </c>
      <c r="H11" s="52">
        <f t="shared" si="2"/>
        <v>45</v>
      </c>
      <c r="I11" s="60">
        <f t="shared" si="12"/>
        <v>3.5185185185185185E-3</v>
      </c>
      <c r="J11" s="61">
        <f t="shared" si="13"/>
        <v>5.0868489778868676E-3</v>
      </c>
      <c r="K11" s="98">
        <f t="shared" si="14"/>
        <v>2.8888888888888888</v>
      </c>
      <c r="L11" s="97">
        <f t="shared" ca="1" si="3"/>
        <v>5.0868489778868676E-3</v>
      </c>
      <c r="M11" s="62">
        <f t="shared" si="4"/>
        <v>41004.919468446205</v>
      </c>
      <c r="N11" s="162">
        <f t="shared" ca="1" si="5"/>
        <v>0</v>
      </c>
      <c r="O11" s="94">
        <f t="shared" ca="1" si="15"/>
        <v>3.8</v>
      </c>
      <c r="P11" s="95">
        <f t="shared" ca="1" si="6"/>
        <v>-4.7719516755336103E-2</v>
      </c>
      <c r="Q11" s="159">
        <f t="shared" si="7"/>
        <v>45</v>
      </c>
      <c r="R11" s="160">
        <f t="shared" ca="1" si="8"/>
        <v>0</v>
      </c>
      <c r="S11" s="222">
        <v>4</v>
      </c>
      <c r="T11" s="42">
        <f t="shared" si="16"/>
        <v>999</v>
      </c>
      <c r="U11" s="56"/>
      <c r="V11" s="51" t="s">
        <v>107</v>
      </c>
      <c r="W11" s="51"/>
      <c r="X11" s="2"/>
      <c r="Y11" s="2"/>
      <c r="Z11" s="2"/>
      <c r="AA11" s="21"/>
      <c r="AF11" s="4"/>
      <c r="AG11" s="4"/>
      <c r="IL11" s="163" t="str">
        <f>$IN$18&amp;"(-0,007)"</f>
        <v>1,83(-0,007)</v>
      </c>
      <c r="IM11" s="4">
        <v>4</v>
      </c>
      <c r="IN11" s="164">
        <f t="shared" si="9"/>
        <v>1.8230000000000008</v>
      </c>
      <c r="IO11" s="27"/>
    </row>
    <row r="12" spans="1:256" ht="15.95" customHeight="1" x14ac:dyDescent="0.25">
      <c r="A12" s="57">
        <v>5</v>
      </c>
      <c r="B12" s="58">
        <f t="shared" si="10"/>
        <v>41004.919468446205</v>
      </c>
      <c r="C12" s="59">
        <f t="shared" si="11"/>
        <v>5</v>
      </c>
      <c r="D12" s="219">
        <v>10</v>
      </c>
      <c r="E12" s="218">
        <v>45</v>
      </c>
      <c r="F12" s="93">
        <f t="shared" si="0"/>
        <v>0</v>
      </c>
      <c r="G12" s="93">
        <f t="shared" si="1"/>
        <v>45</v>
      </c>
      <c r="H12" s="52">
        <f t="shared" si="2"/>
        <v>45</v>
      </c>
      <c r="I12" s="60">
        <f t="shared" si="12"/>
        <v>4.6296296296296294E-3</v>
      </c>
      <c r="J12" s="61">
        <f t="shared" si="13"/>
        <v>9.7164786075164961E-3</v>
      </c>
      <c r="K12" s="98">
        <f t="shared" si="14"/>
        <v>9.9999999999999982</v>
      </c>
      <c r="L12" s="97">
        <f t="shared" ca="1" si="3"/>
        <v>9.7164786075164961E-3</v>
      </c>
      <c r="M12" s="62">
        <f t="shared" si="4"/>
        <v>41004.924098075833</v>
      </c>
      <c r="N12" s="162">
        <f t="shared" ca="1" si="5"/>
        <v>0</v>
      </c>
      <c r="O12" s="94">
        <f t="shared" ca="1" si="15"/>
        <v>5</v>
      </c>
      <c r="P12" s="95">
        <f t="shared" ca="1" si="6"/>
        <v>-4.3089887125393876E-2</v>
      </c>
      <c r="Q12" s="159">
        <f t="shared" si="7"/>
        <v>47</v>
      </c>
      <c r="R12" s="160">
        <f t="shared" ca="1" si="8"/>
        <v>0</v>
      </c>
      <c r="S12" s="222"/>
      <c r="T12" s="42">
        <f t="shared" si="16"/>
        <v>999</v>
      </c>
      <c r="U12" s="56"/>
      <c r="V12" s="63"/>
      <c r="W12" s="63"/>
      <c r="X12" s="2"/>
      <c r="Y12" s="2"/>
      <c r="Z12" s="2"/>
      <c r="AA12" s="21"/>
      <c r="AF12" s="4"/>
      <c r="AG12" s="4"/>
      <c r="IL12" s="163" t="str">
        <f>$IN$18&amp;"(-0,006)"</f>
        <v>1,83(-0,006)</v>
      </c>
      <c r="IM12" s="4">
        <v>5</v>
      </c>
      <c r="IN12" s="164">
        <f t="shared" si="9"/>
        <v>1.8240000000000007</v>
      </c>
      <c r="IO12" s="165" t="b">
        <v>0</v>
      </c>
    </row>
    <row r="13" spans="1:256" ht="15.95" customHeight="1" x14ac:dyDescent="0.25">
      <c r="A13" s="57">
        <v>6</v>
      </c>
      <c r="B13" s="58">
        <f t="shared" si="10"/>
        <v>41004.924098075833</v>
      </c>
      <c r="C13" s="59">
        <f t="shared" si="11"/>
        <v>10</v>
      </c>
      <c r="D13" s="219">
        <v>15</v>
      </c>
      <c r="E13" s="218">
        <v>47</v>
      </c>
      <c r="F13" s="93">
        <f t="shared" si="0"/>
        <v>0</v>
      </c>
      <c r="G13" s="93">
        <f t="shared" si="1"/>
        <v>47</v>
      </c>
      <c r="H13" s="52">
        <f t="shared" si="2"/>
        <v>47</v>
      </c>
      <c r="I13" s="60">
        <f t="shared" si="12"/>
        <v>4.4326241134751776E-3</v>
      </c>
      <c r="J13" s="61">
        <f t="shared" si="13"/>
        <v>1.4149102720991673E-2</v>
      </c>
      <c r="K13" s="98">
        <f t="shared" si="14"/>
        <v>14.787234042553191</v>
      </c>
      <c r="L13" s="97">
        <f t="shared" ca="1" si="3"/>
        <v>1.4149102720991673E-2</v>
      </c>
      <c r="M13" s="62">
        <f t="shared" si="4"/>
        <v>41004.928530699945</v>
      </c>
      <c r="N13" s="162">
        <f t="shared" ca="1" si="5"/>
        <v>0</v>
      </c>
      <c r="O13" s="94">
        <f t="shared" ca="1" si="15"/>
        <v>5</v>
      </c>
      <c r="P13" s="95">
        <f t="shared" ca="1" si="6"/>
        <v>-3.8657263013805059E-2</v>
      </c>
      <c r="Q13" s="159">
        <f t="shared" si="7"/>
        <v>48</v>
      </c>
      <c r="R13" s="160">
        <f t="shared" ca="1" si="8"/>
        <v>0</v>
      </c>
      <c r="S13" s="166"/>
      <c r="T13" s="42">
        <f t="shared" si="16"/>
        <v>999</v>
      </c>
      <c r="U13" s="56"/>
      <c r="V13" s="42"/>
      <c r="W13" s="64"/>
      <c r="X13" s="2"/>
      <c r="Y13" s="2"/>
      <c r="Z13" s="2"/>
      <c r="AA13" s="21"/>
      <c r="AF13" s="4"/>
      <c r="AG13" s="4"/>
      <c r="IL13" s="163" t="str">
        <f>$IN$18&amp;"(-0,005)"</f>
        <v>1,83(-0,005)</v>
      </c>
      <c r="IM13" s="4">
        <v>6</v>
      </c>
      <c r="IN13" s="164">
        <f t="shared" si="9"/>
        <v>1.8250000000000006</v>
      </c>
      <c r="IO13" s="27"/>
    </row>
    <row r="14" spans="1:256" ht="15.95" customHeight="1" x14ac:dyDescent="0.25">
      <c r="A14" s="57">
        <v>7</v>
      </c>
      <c r="B14" s="58">
        <f t="shared" si="10"/>
        <v>41004.928530699945</v>
      </c>
      <c r="C14" s="59">
        <f t="shared" si="11"/>
        <v>15</v>
      </c>
      <c r="D14" s="219">
        <v>24</v>
      </c>
      <c r="E14" s="218">
        <v>48</v>
      </c>
      <c r="F14" s="93">
        <f t="shared" si="0"/>
        <v>0</v>
      </c>
      <c r="G14" s="93">
        <f t="shared" si="1"/>
        <v>48</v>
      </c>
      <c r="H14" s="52">
        <f t="shared" si="2"/>
        <v>48</v>
      </c>
      <c r="I14" s="60">
        <f t="shared" si="12"/>
        <v>7.8125E-3</v>
      </c>
      <c r="J14" s="61">
        <f t="shared" si="13"/>
        <v>2.1961602720991673E-2</v>
      </c>
      <c r="K14" s="98">
        <f t="shared" si="14"/>
        <v>23.8125</v>
      </c>
      <c r="L14" s="97">
        <f t="shared" ca="1" si="3"/>
        <v>2.1961602720991673E-2</v>
      </c>
      <c r="M14" s="62">
        <f t="shared" si="4"/>
        <v>41004.936343199945</v>
      </c>
      <c r="N14" s="162">
        <f t="shared" ca="1" si="5"/>
        <v>0</v>
      </c>
      <c r="O14" s="94">
        <f t="shared" ca="1" si="15"/>
        <v>9</v>
      </c>
      <c r="P14" s="95">
        <f t="shared" ca="1" si="6"/>
        <v>-3.0844763015920762E-2</v>
      </c>
      <c r="Q14" s="159">
        <f t="shared" si="7"/>
        <v>45</v>
      </c>
      <c r="R14" s="160">
        <f t="shared" ca="1" si="8"/>
        <v>0</v>
      </c>
      <c r="S14" s="167"/>
      <c r="T14" s="42">
        <f t="shared" si="16"/>
        <v>999</v>
      </c>
      <c r="U14" s="56"/>
      <c r="V14" s="277"/>
      <c r="W14" s="64"/>
      <c r="X14" s="2"/>
      <c r="Y14" s="2"/>
      <c r="Z14" s="2"/>
      <c r="AA14" s="21"/>
      <c r="AF14" s="4"/>
      <c r="AG14" s="4"/>
      <c r="IL14" s="163" t="str">
        <f>$IN$18&amp;"(-0,004)"</f>
        <v>1,83(-0,004)</v>
      </c>
      <c r="IM14" s="4">
        <v>7</v>
      </c>
      <c r="IN14" s="164">
        <f t="shared" si="9"/>
        <v>1.8260000000000005</v>
      </c>
      <c r="IO14" s="27"/>
    </row>
    <row r="15" spans="1:256" ht="15.95" customHeight="1" x14ac:dyDescent="0.25">
      <c r="A15" s="57">
        <v>8</v>
      </c>
      <c r="B15" s="58">
        <f t="shared" si="10"/>
        <v>41004.936343199945</v>
      </c>
      <c r="C15" s="59">
        <f t="shared" si="11"/>
        <v>24</v>
      </c>
      <c r="D15" s="219">
        <v>344</v>
      </c>
      <c r="E15" s="218">
        <v>45</v>
      </c>
      <c r="F15" s="93">
        <f t="shared" si="0"/>
        <v>0</v>
      </c>
      <c r="G15" s="93">
        <f t="shared" si="1"/>
        <v>45</v>
      </c>
      <c r="H15" s="52">
        <f t="shared" si="2"/>
        <v>45</v>
      </c>
      <c r="I15" s="60">
        <f t="shared" si="12"/>
        <v>0.29629629629629628</v>
      </c>
      <c r="J15" s="61">
        <f t="shared" si="13"/>
        <v>0.31825789901728796</v>
      </c>
      <c r="K15" s="98">
        <f t="shared" si="14"/>
        <v>365.33333333333331</v>
      </c>
      <c r="L15" s="97">
        <f t="shared" ca="1" si="3"/>
        <v>0</v>
      </c>
      <c r="M15" s="62">
        <f t="shared" si="4"/>
        <v>41005.232639496244</v>
      </c>
      <c r="N15" s="162">
        <f t="shared" ca="1" si="5"/>
        <v>3.0844763015920762E-2</v>
      </c>
      <c r="O15" s="94">
        <f t="shared" ca="1" si="15"/>
        <v>33.306094059662428</v>
      </c>
      <c r="P15" s="95">
        <f t="shared" ca="1" si="6"/>
        <v>0.26545153328037552</v>
      </c>
      <c r="Q15" s="159">
        <f t="shared" si="7"/>
        <v>0</v>
      </c>
      <c r="R15" s="160">
        <f t="shared" ca="1" si="8"/>
        <v>-21.617665485188315</v>
      </c>
      <c r="S15" s="168"/>
      <c r="T15" s="42">
        <f t="shared" si="16"/>
        <v>999</v>
      </c>
      <c r="U15" s="36"/>
      <c r="W15" s="5"/>
      <c r="X15" s="2"/>
      <c r="Y15" s="2"/>
      <c r="Z15" s="2"/>
      <c r="AA15" s="21"/>
      <c r="AB15" s="6"/>
      <c r="AC15" s="5"/>
      <c r="AD15" s="4"/>
      <c r="AE15" s="4"/>
      <c r="AF15" s="4"/>
      <c r="AG15" s="4"/>
      <c r="IL15" s="163" t="str">
        <f>$IN$18&amp;"(-0,003)"</f>
        <v>1,83(-0,003)</v>
      </c>
      <c r="IM15" s="4">
        <v>8</v>
      </c>
      <c r="IN15" s="164">
        <f t="shared" si="9"/>
        <v>1.8270000000000004</v>
      </c>
      <c r="IO15" s="27"/>
    </row>
    <row r="16" spans="1:256" ht="15.95" customHeight="1" x14ac:dyDescent="0.2">
      <c r="A16" s="3"/>
      <c r="B16" s="13"/>
      <c r="C16" s="14"/>
      <c r="D16" s="14"/>
      <c r="E16" s="8"/>
      <c r="F16" s="8"/>
      <c r="G16" s="8"/>
      <c r="H16" s="12"/>
      <c r="I16" s="37"/>
      <c r="J16" s="38"/>
      <c r="K16" s="11"/>
      <c r="L16" s="13"/>
      <c r="M16" s="15"/>
      <c r="N16" s="169"/>
      <c r="O16" s="10"/>
      <c r="P16" s="16"/>
      <c r="Q16" s="170"/>
      <c r="R16" s="171"/>
      <c r="S16" s="5"/>
      <c r="T16" s="42">
        <f t="shared" si="16"/>
        <v>999</v>
      </c>
      <c r="U16" s="36"/>
      <c r="V16" s="40"/>
      <c r="W16" s="5"/>
      <c r="AA16" s="7"/>
      <c r="AB16" s="6"/>
      <c r="AC16" s="5"/>
      <c r="AD16" s="4"/>
      <c r="AE16" s="4"/>
      <c r="AF16" s="4"/>
      <c r="AG16" s="4"/>
      <c r="IL16" s="163" t="str">
        <f>$IN$18&amp;"(-0,002)"</f>
        <v>1,83(-0,002)</v>
      </c>
      <c r="IM16" s="4">
        <v>9</v>
      </c>
      <c r="IN16" s="164">
        <f t="shared" si="9"/>
        <v>1.8280000000000003</v>
      </c>
      <c r="IO16" s="27"/>
    </row>
    <row r="17" spans="1:249" ht="15.95" customHeight="1" x14ac:dyDescent="0.2">
      <c r="A17" s="3"/>
      <c r="B17" s="13"/>
      <c r="C17" s="14"/>
      <c r="D17" s="14"/>
      <c r="E17" s="8"/>
      <c r="F17" s="8"/>
      <c r="G17" s="8"/>
      <c r="H17" s="12"/>
      <c r="I17" s="37"/>
      <c r="J17" s="38"/>
      <c r="K17" s="11"/>
      <c r="L17" s="13"/>
      <c r="M17" s="15"/>
      <c r="N17" s="169"/>
      <c r="O17" s="10"/>
      <c r="P17" s="16"/>
      <c r="Q17" s="170"/>
      <c r="R17" s="39"/>
      <c r="S17" s="5"/>
      <c r="T17" s="42">
        <f t="shared" si="16"/>
        <v>999</v>
      </c>
      <c r="U17" s="36"/>
      <c r="V17" s="6"/>
      <c r="W17" s="5"/>
      <c r="AA17" s="7"/>
      <c r="AB17" s="6"/>
      <c r="AC17" s="5"/>
      <c r="AD17" s="4"/>
      <c r="AE17" s="4"/>
      <c r="AF17" s="4"/>
      <c r="AG17" s="4"/>
      <c r="IL17" s="163" t="str">
        <f>$IN$18&amp;"(-0,001)"</f>
        <v>1,83(-0,001)</v>
      </c>
      <c r="IM17" s="4">
        <v>10</v>
      </c>
      <c r="IN17" s="164">
        <f t="shared" si="9"/>
        <v>1.8290000000000002</v>
      </c>
      <c r="IO17" s="27">
        <f>VLOOKUP(IO18,IM8:IN28,2)</f>
        <v>1.83</v>
      </c>
    </row>
    <row r="18" spans="1:249" ht="15.95" customHeight="1" x14ac:dyDescent="0.2">
      <c r="A18" s="3"/>
      <c r="B18" s="13"/>
      <c r="C18" s="14"/>
      <c r="D18" s="14"/>
      <c r="E18" s="8"/>
      <c r="F18" s="8"/>
      <c r="G18" s="8"/>
      <c r="H18" s="12"/>
      <c r="I18" s="37"/>
      <c r="J18" s="38"/>
      <c r="K18" s="11"/>
      <c r="L18" s="13"/>
      <c r="M18" s="15"/>
      <c r="N18" s="169"/>
      <c r="O18" s="10"/>
      <c r="P18" s="16"/>
      <c r="Q18" s="170"/>
      <c r="R18" s="66"/>
      <c r="S18" s="5"/>
      <c r="T18" s="42">
        <f t="shared" si="16"/>
        <v>999</v>
      </c>
      <c r="U18" s="36"/>
      <c r="V18" s="6"/>
      <c r="W18" s="5"/>
      <c r="AA18" s="7"/>
      <c r="AB18" s="6"/>
      <c r="AC18" s="5"/>
      <c r="AD18" s="4"/>
      <c r="AE18" s="4"/>
      <c r="AF18" s="4"/>
      <c r="AG18" s="4"/>
      <c r="IL18" s="172" t="str">
        <f>"calibr ini:"&amp;IN18</f>
        <v>calibr ini:1,83</v>
      </c>
      <c r="IM18" s="4">
        <v>11</v>
      </c>
      <c r="IN18" s="242">
        <f>Parametros!C10</f>
        <v>1.83</v>
      </c>
      <c r="IO18" s="27">
        <v>11</v>
      </c>
    </row>
    <row r="19" spans="1:249" ht="15.95" customHeight="1" x14ac:dyDescent="0.2">
      <c r="A19" s="3"/>
      <c r="B19" s="13"/>
      <c r="C19" s="14"/>
      <c r="D19" s="14"/>
      <c r="E19" s="8"/>
      <c r="F19" s="8"/>
      <c r="G19" s="8"/>
      <c r="H19" s="12"/>
      <c r="I19" s="37"/>
      <c r="J19" s="38"/>
      <c r="K19" s="11"/>
      <c r="L19" s="13"/>
      <c r="M19" s="15"/>
      <c r="N19" s="169"/>
      <c r="O19" s="10"/>
      <c r="P19" s="16"/>
      <c r="Q19" s="170"/>
      <c r="R19" s="39"/>
      <c r="S19" s="5"/>
      <c r="T19" s="42">
        <f t="shared" si="16"/>
        <v>999</v>
      </c>
      <c r="U19" s="36"/>
      <c r="V19" s="6"/>
      <c r="W19" s="5"/>
      <c r="AA19" s="7"/>
      <c r="AB19" s="6"/>
      <c r="AC19" s="5"/>
      <c r="IL19" s="163" t="str">
        <f>$IN$18&amp;"(+0,001)"</f>
        <v>1,83(+0,001)</v>
      </c>
      <c r="IM19" s="4">
        <v>12</v>
      </c>
      <c r="IN19" s="164">
        <f>IN18+0.001</f>
        <v>1.831</v>
      </c>
      <c r="IO19" s="27"/>
    </row>
    <row r="20" spans="1:249" ht="15.95" customHeight="1" x14ac:dyDescent="0.2">
      <c r="A20" s="3"/>
      <c r="B20" s="13"/>
      <c r="C20" s="14"/>
      <c r="D20" s="14"/>
      <c r="E20" s="8"/>
      <c r="F20" s="8"/>
      <c r="G20" s="8"/>
      <c r="H20" s="12"/>
      <c r="I20" s="37"/>
      <c r="J20" s="38"/>
      <c r="K20" s="11"/>
      <c r="L20" s="13"/>
      <c r="M20" s="15"/>
      <c r="N20" s="169"/>
      <c r="O20" s="10"/>
      <c r="P20" s="16"/>
      <c r="Q20" s="170"/>
      <c r="R20" s="39"/>
      <c r="S20" s="5"/>
      <c r="T20" s="42">
        <f t="shared" si="16"/>
        <v>999</v>
      </c>
      <c r="U20" s="36"/>
      <c r="V20" s="6"/>
      <c r="W20" s="5"/>
      <c r="AA20" s="7"/>
      <c r="AB20" s="6"/>
      <c r="AC20" s="5"/>
      <c r="IL20" s="163" t="str">
        <f>$IN$18&amp;"(+0,002)"</f>
        <v>1,83(+0,002)</v>
      </c>
      <c r="IM20" s="4">
        <v>13</v>
      </c>
      <c r="IN20" s="164">
        <f t="shared" ref="IN20:IN28" si="17">IN19+0.001</f>
        <v>1.8319999999999999</v>
      </c>
      <c r="IO20" s="27"/>
    </row>
    <row r="21" spans="1:249" ht="15.95" customHeight="1" x14ac:dyDescent="0.2">
      <c r="A21" s="3"/>
      <c r="B21" s="13"/>
      <c r="C21" s="14"/>
      <c r="D21" s="14"/>
      <c r="E21" s="8"/>
      <c r="F21" s="8"/>
      <c r="G21" s="8"/>
      <c r="H21" s="12"/>
      <c r="I21" s="37"/>
      <c r="J21" s="38"/>
      <c r="K21" s="11"/>
      <c r="L21" s="13"/>
      <c r="M21" s="15"/>
      <c r="N21" s="169"/>
      <c r="O21" s="10"/>
      <c r="P21" s="16"/>
      <c r="Q21" s="17"/>
      <c r="R21" s="18"/>
      <c r="S21" s="5"/>
      <c r="T21" s="42">
        <f t="shared" si="16"/>
        <v>999</v>
      </c>
      <c r="U21" s="36"/>
      <c r="V21" s="6"/>
      <c r="W21" s="5"/>
      <c r="AA21" s="7"/>
      <c r="AB21" s="6"/>
      <c r="AC21" s="5"/>
      <c r="IL21" s="163" t="str">
        <f>$IN$18&amp;"(+0,003)"</f>
        <v>1,83(+0,003)</v>
      </c>
      <c r="IM21" s="4">
        <v>14</v>
      </c>
      <c r="IN21" s="164">
        <f t="shared" si="17"/>
        <v>1.8329999999999997</v>
      </c>
      <c r="IO21" s="27"/>
    </row>
    <row r="22" spans="1:249" ht="15.95" customHeight="1" x14ac:dyDescent="0.2">
      <c r="A22" s="3"/>
      <c r="B22" s="13"/>
      <c r="C22" s="14"/>
      <c r="D22" s="14"/>
      <c r="E22" s="8"/>
      <c r="F22" s="8"/>
      <c r="G22" s="8"/>
      <c r="H22" s="12"/>
      <c r="I22" s="37"/>
      <c r="J22" s="38"/>
      <c r="K22" s="11"/>
      <c r="L22" s="13"/>
      <c r="M22" s="15"/>
      <c r="N22" s="169"/>
      <c r="O22" s="10"/>
      <c r="P22" s="16"/>
      <c r="Q22" s="17"/>
      <c r="R22" s="18"/>
      <c r="S22" s="5"/>
      <c r="T22" s="42">
        <f t="shared" si="16"/>
        <v>999</v>
      </c>
      <c r="U22" s="36"/>
      <c r="V22" s="6"/>
      <c r="W22" s="5"/>
      <c r="AA22" s="7"/>
      <c r="AB22" s="6"/>
      <c r="AC22" s="5"/>
      <c r="IL22" s="163" t="str">
        <f>$IN$18&amp;"(+0,004)"</f>
        <v>1,83(+0,004)</v>
      </c>
      <c r="IM22" s="4">
        <v>15</v>
      </c>
      <c r="IN22" s="164">
        <f t="shared" si="17"/>
        <v>1.8339999999999996</v>
      </c>
      <c r="IO22" s="27"/>
    </row>
    <row r="23" spans="1:249" ht="15.95" customHeight="1" x14ac:dyDescent="0.2">
      <c r="A23" s="3"/>
      <c r="B23" s="13"/>
      <c r="C23" s="14"/>
      <c r="D23" s="14"/>
      <c r="E23" s="8"/>
      <c r="F23" s="8"/>
      <c r="G23" s="8"/>
      <c r="H23" s="12"/>
      <c r="I23" s="37"/>
      <c r="J23" s="38"/>
      <c r="K23" s="11"/>
      <c r="L23" s="13"/>
      <c r="M23" s="15"/>
      <c r="N23" s="169"/>
      <c r="O23" s="10"/>
      <c r="P23" s="16"/>
      <c r="Q23" s="17"/>
      <c r="R23" s="18"/>
      <c r="S23" s="1"/>
      <c r="T23" s="42">
        <f t="shared" si="16"/>
        <v>999</v>
      </c>
      <c r="U23" s="36"/>
      <c r="V23" s="6"/>
      <c r="W23" s="5"/>
      <c r="AA23" s="7"/>
      <c r="AB23" s="6"/>
      <c r="AC23" s="5"/>
      <c r="IL23" s="163" t="str">
        <f>$IN$18&amp;"(+0,005)"</f>
        <v>1,83(+0,005)</v>
      </c>
      <c r="IM23" s="4">
        <v>16</v>
      </c>
      <c r="IN23" s="164">
        <f t="shared" si="17"/>
        <v>1.8349999999999995</v>
      </c>
      <c r="IO23" s="27"/>
    </row>
    <row r="24" spans="1:249" ht="15.95" customHeight="1" x14ac:dyDescent="0.2">
      <c r="A24" s="3"/>
      <c r="B24" s="13"/>
      <c r="C24" s="14"/>
      <c r="D24" s="14"/>
      <c r="E24" s="8"/>
      <c r="F24" s="8"/>
      <c r="G24" s="8"/>
      <c r="H24" s="12"/>
      <c r="I24" s="37"/>
      <c r="J24" s="38"/>
      <c r="K24" s="11"/>
      <c r="L24" s="13"/>
      <c r="M24" s="15"/>
      <c r="N24" s="169"/>
      <c r="O24" s="10"/>
      <c r="P24" s="16"/>
      <c r="Q24" s="17"/>
      <c r="R24" s="18"/>
      <c r="S24" s="3"/>
      <c r="T24" s="42">
        <f t="shared" si="16"/>
        <v>999</v>
      </c>
      <c r="U24" s="36"/>
      <c r="V24" s="6"/>
      <c r="W24" s="5"/>
      <c r="AA24" s="7"/>
      <c r="AB24" s="6"/>
      <c r="AC24" s="5"/>
      <c r="IL24" s="163" t="str">
        <f>$IN$18&amp;"(+0,006)"</f>
        <v>1,83(+0,006)</v>
      </c>
      <c r="IM24" s="4">
        <v>17</v>
      </c>
      <c r="IN24" s="164">
        <f t="shared" si="17"/>
        <v>1.8359999999999994</v>
      </c>
      <c r="IO24" s="27"/>
    </row>
    <row r="25" spans="1:249" ht="15.95" customHeight="1" x14ac:dyDescent="0.2">
      <c r="A25" s="3"/>
      <c r="B25" s="13"/>
      <c r="C25" s="14"/>
      <c r="D25" s="14"/>
      <c r="E25" s="8"/>
      <c r="F25" s="8"/>
      <c r="G25" s="8"/>
      <c r="H25" s="12"/>
      <c r="I25" s="37"/>
      <c r="J25" s="38"/>
      <c r="K25" s="11"/>
      <c r="L25" s="13"/>
      <c r="M25" s="15"/>
      <c r="N25" s="169"/>
      <c r="O25" s="10"/>
      <c r="P25" s="16"/>
      <c r="Q25" s="17"/>
      <c r="R25" s="18"/>
      <c r="S25" s="3"/>
      <c r="T25" s="42">
        <f t="shared" si="16"/>
        <v>999</v>
      </c>
      <c r="U25" s="36"/>
      <c r="V25" s="6"/>
      <c r="W25" s="5"/>
      <c r="AA25" s="7"/>
      <c r="AB25" s="6"/>
      <c r="AC25" s="5"/>
      <c r="IL25" s="163" t="str">
        <f>$IN$18&amp;"(+0,007)"</f>
        <v>1,83(+0,007)</v>
      </c>
      <c r="IM25" s="4">
        <v>18</v>
      </c>
      <c r="IN25" s="164">
        <f t="shared" si="17"/>
        <v>1.8369999999999993</v>
      </c>
      <c r="IO25" s="27"/>
    </row>
    <row r="26" spans="1:249" ht="15.95" customHeight="1" x14ac:dyDescent="0.2">
      <c r="A26" s="3"/>
      <c r="B26" s="13"/>
      <c r="C26" s="14"/>
      <c r="D26" s="14"/>
      <c r="E26" s="8"/>
      <c r="F26" s="8"/>
      <c r="G26" s="8"/>
      <c r="H26" s="12"/>
      <c r="I26" s="37"/>
      <c r="J26" s="38"/>
      <c r="K26" s="11"/>
      <c r="L26" s="13"/>
      <c r="M26" s="15"/>
      <c r="N26" s="169"/>
      <c r="O26" s="10"/>
      <c r="P26" s="16"/>
      <c r="Q26" s="17"/>
      <c r="R26" s="18"/>
      <c r="S26" s="3"/>
      <c r="T26" s="42">
        <f t="shared" si="16"/>
        <v>999</v>
      </c>
      <c r="U26" s="36"/>
      <c r="V26" s="6"/>
      <c r="W26" s="5"/>
      <c r="AA26" s="7"/>
      <c r="AB26" s="6"/>
      <c r="AC26" s="5"/>
      <c r="IL26" s="163" t="str">
        <f>$IN$18&amp;"(+0,008)"</f>
        <v>1,83(+0,008)</v>
      </c>
      <c r="IM26" s="4">
        <v>19</v>
      </c>
      <c r="IN26" s="164">
        <f t="shared" si="17"/>
        <v>1.8379999999999992</v>
      </c>
      <c r="IO26" s="27"/>
    </row>
    <row r="27" spans="1:249" ht="15.95" customHeight="1" x14ac:dyDescent="0.2">
      <c r="A27" s="3"/>
      <c r="B27" s="13"/>
      <c r="C27" s="14"/>
      <c r="D27" s="14"/>
      <c r="E27" s="8"/>
      <c r="F27" s="8"/>
      <c r="G27" s="8"/>
      <c r="H27" s="12"/>
      <c r="I27" s="37"/>
      <c r="J27" s="38"/>
      <c r="K27" s="11"/>
      <c r="L27" s="13"/>
      <c r="M27" s="15"/>
      <c r="N27" s="169"/>
      <c r="O27" s="10"/>
      <c r="P27" s="16"/>
      <c r="Q27" s="17"/>
      <c r="R27" s="18"/>
      <c r="S27" s="3"/>
      <c r="T27" s="42">
        <f t="shared" si="16"/>
        <v>999</v>
      </c>
      <c r="U27" s="36"/>
      <c r="V27" s="6"/>
      <c r="W27" s="5"/>
      <c r="AA27" s="7"/>
      <c r="AB27" s="6"/>
      <c r="AC27" s="4"/>
      <c r="IL27" s="163" t="str">
        <f>$IN$18&amp;"(+0,009)"</f>
        <v>1,83(+0,009)</v>
      </c>
      <c r="IM27" s="4">
        <v>20</v>
      </c>
      <c r="IN27" s="164">
        <f t="shared" si="17"/>
        <v>1.8389999999999991</v>
      </c>
      <c r="IO27" s="27"/>
    </row>
    <row r="28" spans="1:249" ht="15.95" customHeight="1" x14ac:dyDescent="0.2">
      <c r="A28" s="3"/>
      <c r="B28" s="13"/>
      <c r="C28" s="14"/>
      <c r="D28" s="14"/>
      <c r="E28" s="8"/>
      <c r="F28" s="8"/>
      <c r="G28" s="8"/>
      <c r="H28" s="12"/>
      <c r="I28" s="37"/>
      <c r="J28" s="38"/>
      <c r="K28" s="11"/>
      <c r="L28" s="13"/>
      <c r="M28" s="15"/>
      <c r="N28" s="169"/>
      <c r="O28" s="10"/>
      <c r="P28" s="16"/>
      <c r="Q28" s="17"/>
      <c r="R28" s="18"/>
      <c r="S28" s="3"/>
      <c r="T28" s="42">
        <f t="shared" si="16"/>
        <v>999</v>
      </c>
      <c r="U28" s="36"/>
      <c r="V28" s="6"/>
      <c r="W28" s="5"/>
      <c r="AA28" s="7"/>
      <c r="AB28" s="6"/>
      <c r="AC28" s="4"/>
      <c r="IL28" s="163" t="str">
        <f>$IN$18&amp;"(+0,010)"</f>
        <v>1,83(+0,010)</v>
      </c>
      <c r="IM28" s="173">
        <v>21</v>
      </c>
      <c r="IN28" s="174">
        <f t="shared" si="17"/>
        <v>1.839999999999999</v>
      </c>
      <c r="IO28" s="28"/>
    </row>
    <row r="29" spans="1:249" ht="15.95" customHeight="1" x14ac:dyDescent="0.2">
      <c r="A29" s="3"/>
      <c r="B29" s="13"/>
      <c r="C29" s="14"/>
      <c r="D29" s="14"/>
      <c r="E29" s="8"/>
      <c r="F29" s="8"/>
      <c r="G29" s="8"/>
      <c r="H29" s="12"/>
      <c r="I29" s="37"/>
      <c r="J29" s="38"/>
      <c r="K29" s="11"/>
      <c r="L29" s="13"/>
      <c r="M29" s="15"/>
      <c r="N29" s="169"/>
      <c r="O29" s="10"/>
      <c r="P29" s="16"/>
      <c r="Q29" s="17"/>
      <c r="R29" s="18"/>
      <c r="S29" s="5"/>
      <c r="T29" s="42">
        <f t="shared" si="16"/>
        <v>999</v>
      </c>
      <c r="U29" s="36"/>
      <c r="V29" s="6"/>
      <c r="W29" s="5"/>
      <c r="AA29" s="7"/>
      <c r="AB29" s="6"/>
      <c r="AC29" s="4"/>
    </row>
    <row r="30" spans="1:249" ht="15.95" customHeight="1" x14ac:dyDescent="0.2">
      <c r="A30" s="3"/>
      <c r="B30" s="13"/>
      <c r="C30" s="14"/>
      <c r="D30" s="14"/>
      <c r="E30" s="8"/>
      <c r="F30" s="8"/>
      <c r="G30" s="8"/>
      <c r="H30" s="12"/>
      <c r="I30" s="37"/>
      <c r="J30" s="38"/>
      <c r="K30" s="11"/>
      <c r="L30" s="13"/>
      <c r="M30" s="15"/>
      <c r="N30" s="169"/>
      <c r="O30" s="10"/>
      <c r="P30" s="16"/>
      <c r="Q30" s="17"/>
      <c r="R30" s="18"/>
      <c r="S30" s="5"/>
      <c r="T30" s="42">
        <f t="shared" si="16"/>
        <v>999</v>
      </c>
      <c r="U30" s="36"/>
      <c r="V30" s="6"/>
      <c r="W30" s="5"/>
      <c r="AA30" s="8"/>
      <c r="AB30" s="6"/>
      <c r="AC30" s="4"/>
    </row>
    <row r="31" spans="1:249" ht="15.95" customHeight="1" x14ac:dyDescent="0.2">
      <c r="A31" s="3"/>
      <c r="B31" s="13"/>
      <c r="C31" s="14"/>
      <c r="D31" s="14"/>
      <c r="E31" s="8"/>
      <c r="F31" s="8"/>
      <c r="G31" s="8"/>
      <c r="H31" s="12"/>
      <c r="I31" s="37"/>
      <c r="J31" s="38"/>
      <c r="K31" s="11"/>
      <c r="L31" s="13"/>
      <c r="M31" s="15"/>
      <c r="N31" s="169"/>
      <c r="O31" s="10"/>
      <c r="P31" s="16"/>
      <c r="Q31" s="17"/>
      <c r="R31" s="18"/>
      <c r="S31" s="5"/>
      <c r="T31" s="42">
        <f t="shared" si="16"/>
        <v>999</v>
      </c>
      <c r="U31" s="36"/>
      <c r="V31" s="6"/>
      <c r="W31" s="5"/>
      <c r="AA31" s="8"/>
      <c r="AB31" s="6"/>
      <c r="AC31" s="4"/>
    </row>
    <row r="32" spans="1:249" ht="15.95" customHeight="1" x14ac:dyDescent="0.2">
      <c r="A32" s="3"/>
      <c r="B32" s="13"/>
      <c r="C32" s="14"/>
      <c r="D32" s="14"/>
      <c r="E32" s="8"/>
      <c r="F32" s="8"/>
      <c r="G32" s="8"/>
      <c r="H32" s="12"/>
      <c r="I32" s="37"/>
      <c r="J32" s="38"/>
      <c r="K32" s="11"/>
      <c r="L32" s="13"/>
      <c r="M32" s="15"/>
      <c r="N32" s="169"/>
      <c r="O32" s="10"/>
      <c r="P32" s="16"/>
      <c r="Q32" s="17"/>
      <c r="R32" s="18"/>
      <c r="S32" s="5"/>
      <c r="T32" s="42">
        <f t="shared" si="16"/>
        <v>999</v>
      </c>
      <c r="U32" s="36"/>
      <c r="V32" s="6"/>
      <c r="W32" s="5"/>
      <c r="AA32" s="8"/>
      <c r="AB32" s="6"/>
      <c r="AC32" s="4"/>
    </row>
    <row r="33" spans="1:29" ht="15.95" customHeight="1" x14ac:dyDescent="0.2">
      <c r="A33" s="3"/>
      <c r="B33" s="13"/>
      <c r="C33" s="14"/>
      <c r="D33" s="14"/>
      <c r="E33" s="8"/>
      <c r="F33" s="8"/>
      <c r="G33" s="8"/>
      <c r="H33" s="12"/>
      <c r="I33" s="37"/>
      <c r="J33" s="38"/>
      <c r="K33" s="11"/>
      <c r="L33" s="13"/>
      <c r="M33" s="15"/>
      <c r="N33" s="169"/>
      <c r="O33" s="10"/>
      <c r="P33" s="16"/>
      <c r="Q33" s="17"/>
      <c r="R33" s="18"/>
      <c r="S33" s="5"/>
      <c r="T33" s="42">
        <f t="shared" si="16"/>
        <v>999</v>
      </c>
      <c r="U33" s="36"/>
      <c r="V33" s="6"/>
      <c r="W33" s="5"/>
      <c r="AA33" s="8"/>
      <c r="AB33" s="6"/>
      <c r="AC33" s="4"/>
    </row>
    <row r="34" spans="1:29" ht="15.95" customHeight="1" x14ac:dyDescent="0.2">
      <c r="A34" s="3"/>
      <c r="B34" s="13"/>
      <c r="C34" s="14"/>
      <c r="D34" s="14"/>
      <c r="E34" s="8"/>
      <c r="F34" s="8"/>
      <c r="G34" s="8"/>
      <c r="H34" s="12"/>
      <c r="I34" s="37"/>
      <c r="J34" s="38"/>
      <c r="K34" s="11"/>
      <c r="L34" s="13"/>
      <c r="M34" s="15"/>
      <c r="N34" s="169"/>
      <c r="O34" s="10"/>
      <c r="P34" s="16"/>
      <c r="Q34" s="17"/>
      <c r="R34" s="18"/>
      <c r="S34" s="5"/>
      <c r="T34" s="42">
        <f t="shared" si="16"/>
        <v>999</v>
      </c>
      <c r="U34" s="36"/>
      <c r="V34" s="6"/>
      <c r="W34" s="5"/>
      <c r="AA34" s="8"/>
      <c r="AB34" s="6"/>
      <c r="AC34" s="4"/>
    </row>
    <row r="35" spans="1:29" ht="15" x14ac:dyDescent="0.2">
      <c r="A35" s="3"/>
      <c r="B35" s="13"/>
      <c r="C35" s="14"/>
      <c r="D35" s="14"/>
      <c r="E35" s="8"/>
      <c r="F35" s="8"/>
      <c r="G35" s="8"/>
      <c r="H35" s="12"/>
      <c r="I35" s="37"/>
      <c r="J35" s="38"/>
      <c r="K35" s="11"/>
      <c r="L35" s="13"/>
      <c r="M35" s="15"/>
      <c r="N35" s="169"/>
      <c r="O35" s="10"/>
      <c r="P35" s="16"/>
      <c r="Q35" s="17"/>
      <c r="R35" s="18"/>
      <c r="S35" s="5"/>
      <c r="T35" s="42">
        <f t="shared" si="16"/>
        <v>999</v>
      </c>
      <c r="U35" s="36"/>
      <c r="V35" s="6"/>
      <c r="W35" s="5"/>
      <c r="AA35" s="8"/>
      <c r="AB35" s="6"/>
      <c r="AC35" s="4"/>
    </row>
    <row r="36" spans="1:29" ht="15" x14ac:dyDescent="0.2">
      <c r="A36" s="3"/>
      <c r="B36" s="13"/>
      <c r="C36" s="14"/>
      <c r="D36" s="14"/>
      <c r="E36" s="8"/>
      <c r="F36" s="8"/>
      <c r="G36" s="8"/>
      <c r="H36" s="12"/>
      <c r="I36" s="37"/>
      <c r="J36" s="38"/>
      <c r="K36" s="11"/>
      <c r="L36" s="13"/>
      <c r="M36" s="15"/>
      <c r="N36" s="169"/>
      <c r="O36" s="10"/>
      <c r="P36" s="16"/>
      <c r="Q36" s="17"/>
      <c r="R36" s="18"/>
      <c r="S36" s="5"/>
      <c r="T36" s="42">
        <f t="shared" si="16"/>
        <v>999</v>
      </c>
      <c r="U36" s="36"/>
      <c r="V36" s="6"/>
      <c r="W36" s="5"/>
      <c r="AA36" s="8"/>
      <c r="AB36" s="6"/>
      <c r="AC36" s="4"/>
    </row>
    <row r="37" spans="1:29" ht="15" x14ac:dyDescent="0.2">
      <c r="A37" s="3"/>
      <c r="B37" s="13"/>
      <c r="C37" s="14"/>
      <c r="D37" s="14"/>
      <c r="E37" s="8"/>
      <c r="F37" s="8"/>
      <c r="G37" s="8"/>
      <c r="H37" s="12"/>
      <c r="I37" s="37"/>
      <c r="J37" s="38"/>
      <c r="K37" s="11"/>
      <c r="L37" s="13"/>
      <c r="M37" s="15"/>
      <c r="N37" s="169"/>
      <c r="O37" s="10"/>
      <c r="P37" s="16"/>
      <c r="Q37" s="17"/>
      <c r="R37" s="18"/>
      <c r="S37" s="5"/>
      <c r="T37" s="42">
        <f t="shared" si="16"/>
        <v>999</v>
      </c>
      <c r="U37" s="36"/>
      <c r="V37" s="6"/>
      <c r="W37" s="5"/>
      <c r="AA37" s="8"/>
      <c r="AB37" s="6"/>
      <c r="AC37" s="4"/>
    </row>
    <row r="38" spans="1:29" ht="15" x14ac:dyDescent="0.2">
      <c r="A38" s="3"/>
      <c r="B38" s="13"/>
      <c r="C38" s="14"/>
      <c r="D38" s="14"/>
      <c r="E38" s="8"/>
      <c r="F38" s="8"/>
      <c r="G38" s="8"/>
      <c r="H38" s="12"/>
      <c r="I38" s="37"/>
      <c r="J38" s="38"/>
      <c r="K38" s="11"/>
      <c r="L38" s="13"/>
      <c r="M38" s="15"/>
      <c r="N38" s="169"/>
      <c r="O38" s="10"/>
      <c r="P38" s="16"/>
      <c r="Q38" s="17"/>
      <c r="R38" s="18"/>
      <c r="S38" s="5"/>
      <c r="T38" s="42">
        <f t="shared" si="16"/>
        <v>999</v>
      </c>
      <c r="U38" s="36"/>
      <c r="V38" s="6"/>
      <c r="W38" s="5"/>
      <c r="AA38" s="8"/>
      <c r="AB38" s="6"/>
      <c r="AC38" s="4"/>
    </row>
    <row r="39" spans="1:29" ht="15" x14ac:dyDescent="0.2">
      <c r="A39" s="3"/>
      <c r="B39" s="13"/>
      <c r="C39" s="14"/>
      <c r="D39" s="14"/>
      <c r="E39" s="8"/>
      <c r="F39" s="8"/>
      <c r="G39" s="8"/>
      <c r="H39" s="12"/>
      <c r="I39" s="37"/>
      <c r="J39" s="38"/>
      <c r="K39" s="11"/>
      <c r="L39" s="13"/>
      <c r="M39" s="15"/>
      <c r="N39" s="169"/>
      <c r="O39" s="10"/>
      <c r="P39" s="16"/>
      <c r="Q39" s="17"/>
      <c r="R39" s="18"/>
      <c r="S39" s="5"/>
      <c r="T39" s="42">
        <f t="shared" si="16"/>
        <v>999</v>
      </c>
      <c r="U39" s="36"/>
      <c r="V39" s="6"/>
      <c r="W39" s="5"/>
      <c r="AA39" s="8"/>
      <c r="AB39" s="6"/>
      <c r="AC39" s="4"/>
    </row>
    <row r="40" spans="1:29" ht="15" x14ac:dyDescent="0.2">
      <c r="A40" s="3"/>
      <c r="B40" s="13"/>
      <c r="C40" s="14"/>
      <c r="D40" s="14"/>
      <c r="E40" s="8"/>
      <c r="F40" s="8"/>
      <c r="G40" s="8"/>
      <c r="H40" s="12"/>
      <c r="I40" s="37"/>
      <c r="J40" s="38"/>
      <c r="K40" s="11"/>
      <c r="L40" s="13"/>
      <c r="M40" s="15"/>
      <c r="N40" s="169"/>
      <c r="O40" s="10"/>
      <c r="P40" s="16"/>
      <c r="Q40" s="17"/>
      <c r="R40" s="18"/>
      <c r="S40" s="5"/>
      <c r="T40" s="42">
        <f t="shared" si="16"/>
        <v>999</v>
      </c>
      <c r="U40" s="36"/>
      <c r="V40" s="6"/>
      <c r="W40" s="5"/>
      <c r="AA40" s="8"/>
      <c r="AB40" s="6"/>
      <c r="AC40" s="4"/>
    </row>
    <row r="41" spans="1:29" ht="15" x14ac:dyDescent="0.2">
      <c r="A41" s="3"/>
      <c r="B41" s="13"/>
      <c r="C41" s="14"/>
      <c r="D41" s="14"/>
      <c r="E41" s="8"/>
      <c r="F41" s="8"/>
      <c r="G41" s="8"/>
      <c r="H41" s="12"/>
      <c r="I41" s="37"/>
      <c r="J41" s="38"/>
      <c r="K41" s="11"/>
      <c r="L41" s="13"/>
      <c r="M41" s="15"/>
      <c r="N41" s="169"/>
      <c r="O41" s="10"/>
      <c r="P41" s="16"/>
      <c r="Q41" s="17"/>
      <c r="R41" s="18"/>
      <c r="S41" s="5"/>
      <c r="T41" s="42">
        <f t="shared" si="16"/>
        <v>999</v>
      </c>
      <c r="U41" s="36"/>
      <c r="V41" s="6"/>
      <c r="W41" s="5"/>
      <c r="AA41" s="8"/>
      <c r="AB41" s="6"/>
      <c r="AC41" s="4"/>
    </row>
    <row r="42" spans="1:29" ht="15" x14ac:dyDescent="0.2">
      <c r="A42" s="3"/>
      <c r="B42" s="13"/>
      <c r="C42" s="14"/>
      <c r="D42" s="14"/>
      <c r="E42" s="8"/>
      <c r="F42" s="8"/>
      <c r="G42" s="8"/>
      <c r="H42" s="12"/>
      <c r="I42" s="37"/>
      <c r="J42" s="38"/>
      <c r="K42" s="11"/>
      <c r="L42" s="13"/>
      <c r="M42" s="15"/>
      <c r="N42" s="169"/>
      <c r="O42" s="10"/>
      <c r="P42" s="16"/>
      <c r="Q42" s="17"/>
      <c r="R42" s="18"/>
      <c r="S42" s="5"/>
      <c r="T42" s="42">
        <f t="shared" si="16"/>
        <v>999</v>
      </c>
      <c r="U42" s="36"/>
      <c r="V42" s="6"/>
      <c r="W42" s="5"/>
      <c r="AA42" s="8"/>
      <c r="AB42" s="6"/>
      <c r="AC42" s="4"/>
    </row>
    <row r="43" spans="1:29" ht="15" x14ac:dyDescent="0.2">
      <c r="A43" s="3"/>
      <c r="B43" s="13"/>
      <c r="C43" s="14"/>
      <c r="D43" s="14"/>
      <c r="E43" s="8"/>
      <c r="F43" s="8"/>
      <c r="G43" s="8"/>
      <c r="H43" s="12"/>
      <c r="I43" s="37"/>
      <c r="J43" s="38"/>
      <c r="K43" s="11"/>
      <c r="L43" s="13"/>
      <c r="M43" s="15"/>
      <c r="N43" s="169"/>
      <c r="O43" s="10"/>
      <c r="P43" s="16"/>
      <c r="Q43" s="17"/>
      <c r="R43" s="18"/>
      <c r="S43" s="5"/>
      <c r="T43" s="42">
        <f t="shared" si="16"/>
        <v>999</v>
      </c>
      <c r="U43" s="36"/>
      <c r="V43" s="6"/>
      <c r="W43" s="5"/>
      <c r="AA43" s="8"/>
      <c r="AB43" s="6"/>
      <c r="AC43" s="4"/>
    </row>
    <row r="44" spans="1:29" ht="15" x14ac:dyDescent="0.2">
      <c r="A44" s="3"/>
      <c r="B44" s="13"/>
      <c r="C44" s="14"/>
      <c r="D44" s="14"/>
      <c r="E44" s="8"/>
      <c r="F44" s="8"/>
      <c r="G44" s="8"/>
      <c r="H44" s="12"/>
      <c r="I44" s="37"/>
      <c r="J44" s="38"/>
      <c r="K44" s="11"/>
      <c r="L44" s="13"/>
      <c r="M44" s="15"/>
      <c r="N44" s="169"/>
      <c r="O44" s="10"/>
      <c r="P44" s="16"/>
      <c r="Q44" s="17"/>
      <c r="R44" s="18"/>
      <c r="S44" s="5"/>
      <c r="T44" s="42">
        <f t="shared" si="16"/>
        <v>999</v>
      </c>
      <c r="U44" s="36"/>
      <c r="V44" s="6"/>
      <c r="W44" s="5"/>
      <c r="AA44" s="8"/>
      <c r="AB44" s="6"/>
      <c r="AC44" s="4"/>
    </row>
    <row r="45" spans="1:29" ht="15" x14ac:dyDescent="0.2">
      <c r="A45" s="3"/>
      <c r="B45" s="13"/>
      <c r="C45" s="14"/>
      <c r="D45" s="14"/>
      <c r="E45" s="8"/>
      <c r="F45" s="8"/>
      <c r="G45" s="8"/>
      <c r="H45" s="12"/>
      <c r="I45" s="37"/>
      <c r="J45" s="38"/>
      <c r="K45" s="11"/>
      <c r="L45" s="13"/>
      <c r="M45" s="15"/>
      <c r="N45" s="169"/>
      <c r="O45" s="10"/>
      <c r="P45" s="16"/>
      <c r="Q45" s="17"/>
      <c r="R45" s="18"/>
      <c r="S45" s="5"/>
      <c r="T45" s="42">
        <f t="shared" si="16"/>
        <v>999</v>
      </c>
      <c r="U45" s="36"/>
      <c r="V45" s="6"/>
      <c r="W45" s="5"/>
      <c r="AA45" s="8"/>
      <c r="AB45" s="6"/>
      <c r="AC45" s="4"/>
    </row>
    <row r="46" spans="1:29" ht="15" x14ac:dyDescent="0.2">
      <c r="A46" s="3"/>
      <c r="B46" s="13"/>
      <c r="C46" s="14"/>
      <c r="D46" s="14"/>
      <c r="E46" s="8"/>
      <c r="F46" s="8"/>
      <c r="G46" s="8"/>
      <c r="H46" s="12"/>
      <c r="I46" s="37"/>
      <c r="J46" s="38"/>
      <c r="K46" s="11"/>
      <c r="L46" s="13"/>
      <c r="M46" s="15"/>
      <c r="N46" s="169"/>
      <c r="O46" s="10"/>
      <c r="P46" s="16"/>
      <c r="Q46" s="17"/>
      <c r="R46" s="18"/>
      <c r="S46" s="5"/>
      <c r="T46" s="42">
        <f t="shared" si="16"/>
        <v>999</v>
      </c>
      <c r="U46" s="36"/>
      <c r="V46" s="6"/>
      <c r="W46" s="5"/>
      <c r="AA46" s="8"/>
      <c r="AB46" s="6"/>
      <c r="AC46" s="4"/>
    </row>
    <row r="47" spans="1:29" ht="15" x14ac:dyDescent="0.2">
      <c r="A47" s="3"/>
      <c r="B47" s="13"/>
      <c r="C47" s="14"/>
      <c r="D47" s="14"/>
      <c r="E47" s="8"/>
      <c r="F47" s="8"/>
      <c r="G47" s="8"/>
      <c r="H47" s="12"/>
      <c r="I47" s="37"/>
      <c r="J47" s="38"/>
      <c r="K47" s="11"/>
      <c r="L47" s="13"/>
      <c r="M47" s="15"/>
      <c r="N47" s="169"/>
      <c r="O47" s="10"/>
      <c r="P47" s="16"/>
      <c r="Q47" s="17"/>
      <c r="R47" s="18"/>
      <c r="S47" s="5"/>
      <c r="T47" s="42">
        <f t="shared" si="16"/>
        <v>999</v>
      </c>
      <c r="U47" s="36"/>
      <c r="V47" s="6"/>
      <c r="W47" s="5"/>
      <c r="AA47" s="8"/>
      <c r="AB47" s="6"/>
      <c r="AC47" s="4"/>
    </row>
    <row r="48" spans="1:29" ht="15" x14ac:dyDescent="0.2">
      <c r="A48" s="3"/>
      <c r="B48" s="13"/>
      <c r="C48" s="14"/>
      <c r="D48" s="14"/>
      <c r="E48" s="8"/>
      <c r="F48" s="8"/>
      <c r="G48" s="8"/>
      <c r="H48" s="12"/>
      <c r="I48" s="37"/>
      <c r="J48" s="38"/>
      <c r="K48" s="11"/>
      <c r="L48" s="13"/>
      <c r="M48" s="15"/>
      <c r="N48" s="169"/>
      <c r="O48" s="10"/>
      <c r="P48" s="16"/>
      <c r="Q48" s="17"/>
      <c r="R48" s="18"/>
      <c r="S48" s="5"/>
      <c r="T48" s="42">
        <f t="shared" si="16"/>
        <v>999</v>
      </c>
      <c r="U48" s="36"/>
      <c r="V48" s="6"/>
      <c r="W48" s="5"/>
      <c r="AA48" s="8"/>
      <c r="AB48" s="6"/>
      <c r="AC48" s="4"/>
    </row>
    <row r="49" spans="1:29" ht="15" x14ac:dyDescent="0.2">
      <c r="A49" s="3"/>
      <c r="B49" s="13"/>
      <c r="C49" s="14"/>
      <c r="D49" s="14"/>
      <c r="E49" s="8"/>
      <c r="F49" s="8"/>
      <c r="G49" s="8"/>
      <c r="H49" s="12"/>
      <c r="I49" s="37"/>
      <c r="J49" s="38"/>
      <c r="K49" s="11"/>
      <c r="L49" s="13"/>
      <c r="M49" s="15"/>
      <c r="N49" s="169"/>
      <c r="O49" s="10"/>
      <c r="P49" s="16"/>
      <c r="Q49" s="17"/>
      <c r="R49" s="18"/>
      <c r="S49" s="5"/>
      <c r="T49" s="42">
        <f t="shared" si="16"/>
        <v>999</v>
      </c>
      <c r="U49" s="36"/>
      <c r="V49" s="6"/>
      <c r="W49" s="5"/>
      <c r="AA49" s="8"/>
      <c r="AB49" s="6"/>
      <c r="AC49" s="4"/>
    </row>
    <row r="50" spans="1:29" ht="15" x14ac:dyDescent="0.2">
      <c r="A50" s="3"/>
      <c r="B50" s="13"/>
      <c r="C50" s="14"/>
      <c r="D50" s="14"/>
      <c r="E50" s="8"/>
      <c r="F50" s="8"/>
      <c r="G50" s="8"/>
      <c r="H50" s="12"/>
      <c r="I50" s="37"/>
      <c r="J50" s="38"/>
      <c r="K50" s="11"/>
      <c r="L50" s="13"/>
      <c r="M50" s="15"/>
      <c r="N50" s="169"/>
      <c r="O50" s="10"/>
      <c r="P50" s="16"/>
      <c r="Q50" s="17"/>
      <c r="R50" s="18"/>
      <c r="S50" s="5"/>
      <c r="T50" s="42">
        <f t="shared" si="16"/>
        <v>999</v>
      </c>
      <c r="U50" s="36"/>
      <c r="V50" s="6"/>
      <c r="W50" s="5"/>
      <c r="AA50" s="8"/>
      <c r="AB50" s="6"/>
      <c r="AC50" s="4"/>
    </row>
    <row r="51" spans="1:29" ht="15" x14ac:dyDescent="0.2">
      <c r="A51" s="3"/>
      <c r="B51" s="13"/>
      <c r="C51" s="14"/>
      <c r="D51" s="14"/>
      <c r="E51" s="8"/>
      <c r="F51" s="8"/>
      <c r="G51" s="8"/>
      <c r="H51" s="12"/>
      <c r="I51" s="37"/>
      <c r="J51" s="38"/>
      <c r="K51" s="11"/>
      <c r="L51" s="13"/>
      <c r="M51" s="15"/>
      <c r="N51" s="169"/>
      <c r="O51" s="10"/>
      <c r="P51" s="16"/>
      <c r="Q51" s="17"/>
      <c r="R51" s="18"/>
      <c r="S51" s="5"/>
      <c r="T51" s="42">
        <f t="shared" si="16"/>
        <v>999</v>
      </c>
      <c r="U51" s="36"/>
      <c r="V51" s="6"/>
      <c r="W51" s="5"/>
      <c r="AA51" s="8"/>
      <c r="AB51" s="6"/>
      <c r="AC51" s="4"/>
    </row>
    <row r="52" spans="1:29" ht="15" x14ac:dyDescent="0.2">
      <c r="A52" s="3"/>
      <c r="B52" s="13"/>
      <c r="C52" s="14"/>
      <c r="D52" s="14"/>
      <c r="E52" s="8"/>
      <c r="F52" s="8"/>
      <c r="G52" s="8"/>
      <c r="H52" s="12"/>
      <c r="I52" s="37"/>
      <c r="J52" s="38"/>
      <c r="K52" s="11"/>
      <c r="L52" s="13"/>
      <c r="M52" s="15"/>
      <c r="N52" s="169"/>
      <c r="O52" s="10"/>
      <c r="P52" s="16"/>
      <c r="Q52" s="17"/>
      <c r="R52" s="18"/>
      <c r="S52" s="5"/>
      <c r="T52" s="42">
        <f t="shared" si="16"/>
        <v>999</v>
      </c>
      <c r="U52" s="36"/>
      <c r="V52" s="6"/>
      <c r="W52" s="5"/>
      <c r="AA52" s="8"/>
      <c r="AB52" s="6"/>
      <c r="AC52" s="4"/>
    </row>
    <row r="53" spans="1:29" ht="15" x14ac:dyDescent="0.2">
      <c r="A53" s="3"/>
      <c r="B53" s="13"/>
      <c r="C53" s="14"/>
      <c r="D53" s="14"/>
      <c r="E53" s="8"/>
      <c r="F53" s="8"/>
      <c r="G53" s="8"/>
      <c r="H53" s="12"/>
      <c r="I53" s="37"/>
      <c r="J53" s="38"/>
      <c r="K53" s="11"/>
      <c r="L53" s="13"/>
      <c r="M53" s="15"/>
      <c r="N53" s="169"/>
      <c r="O53" s="10"/>
      <c r="P53" s="16"/>
      <c r="Q53" s="17"/>
      <c r="R53" s="18"/>
      <c r="S53" s="5"/>
      <c r="T53" s="42">
        <f t="shared" si="16"/>
        <v>999</v>
      </c>
      <c r="U53" s="36"/>
      <c r="V53" s="6"/>
      <c r="W53" s="5"/>
      <c r="AA53" s="8"/>
      <c r="AB53" s="6"/>
      <c r="AC53" s="4"/>
    </row>
    <row r="54" spans="1:29" ht="15" x14ac:dyDescent="0.2">
      <c r="A54" s="3"/>
      <c r="B54" s="13"/>
      <c r="C54" s="14"/>
      <c r="D54" s="14"/>
      <c r="E54" s="8"/>
      <c r="F54" s="8"/>
      <c r="G54" s="8"/>
      <c r="H54" s="12"/>
      <c r="I54" s="37"/>
      <c r="J54" s="38"/>
      <c r="K54" s="11"/>
      <c r="L54" s="13"/>
      <c r="M54" s="15"/>
      <c r="N54" s="169"/>
      <c r="O54" s="10"/>
      <c r="P54" s="16"/>
      <c r="Q54" s="17"/>
      <c r="R54" s="18"/>
      <c r="S54" s="5"/>
      <c r="T54" s="42">
        <f t="shared" si="16"/>
        <v>999</v>
      </c>
      <c r="U54" s="36"/>
      <c r="V54" s="6"/>
      <c r="W54" s="5"/>
      <c r="AA54" s="8"/>
      <c r="AB54" s="6"/>
      <c r="AC54" s="4"/>
    </row>
    <row r="55" spans="1:29" ht="15" x14ac:dyDescent="0.2">
      <c r="A55" s="3"/>
      <c r="B55" s="13"/>
      <c r="C55" s="14"/>
      <c r="D55" s="14"/>
      <c r="E55" s="8"/>
      <c r="F55" s="8"/>
      <c r="G55" s="8"/>
      <c r="H55" s="12"/>
      <c r="I55" s="37"/>
      <c r="J55" s="38"/>
      <c r="K55" s="11"/>
      <c r="L55" s="13"/>
      <c r="M55" s="15"/>
      <c r="N55" s="169"/>
      <c r="O55" s="10"/>
      <c r="P55" s="16"/>
      <c r="Q55" s="17"/>
      <c r="R55" s="18"/>
      <c r="S55" s="5"/>
      <c r="T55" s="42">
        <f t="shared" si="16"/>
        <v>999</v>
      </c>
      <c r="U55" s="36"/>
      <c r="V55" s="6"/>
      <c r="W55" s="5"/>
      <c r="AA55" s="8"/>
      <c r="AB55" s="6"/>
      <c r="AC55" s="4"/>
    </row>
    <row r="56" spans="1:29" ht="15" x14ac:dyDescent="0.2">
      <c r="A56" s="3"/>
      <c r="B56" s="13"/>
      <c r="C56" s="14"/>
      <c r="D56" s="14"/>
      <c r="E56" s="8"/>
      <c r="F56" s="8"/>
      <c r="G56" s="8"/>
      <c r="H56" s="12"/>
      <c r="I56" s="37"/>
      <c r="J56" s="38"/>
      <c r="K56" s="11"/>
      <c r="L56" s="13"/>
      <c r="M56" s="15"/>
      <c r="N56" s="169"/>
      <c r="O56" s="10"/>
      <c r="P56" s="16"/>
      <c r="Q56" s="17"/>
      <c r="R56" s="18"/>
      <c r="S56" s="5"/>
      <c r="T56" s="42">
        <f t="shared" si="16"/>
        <v>999</v>
      </c>
      <c r="U56" s="36"/>
      <c r="V56" s="6"/>
      <c r="W56" s="5"/>
      <c r="AA56" s="8"/>
      <c r="AB56" s="6"/>
      <c r="AC56" s="4"/>
    </row>
    <row r="57" spans="1:29" ht="15" x14ac:dyDescent="0.2">
      <c r="A57" s="3"/>
      <c r="B57" s="13"/>
      <c r="C57" s="14"/>
      <c r="D57" s="14"/>
      <c r="E57" s="8"/>
      <c r="F57" s="8"/>
      <c r="G57" s="8"/>
      <c r="H57" s="12"/>
      <c r="I57" s="37"/>
      <c r="J57" s="38"/>
      <c r="K57" s="11"/>
      <c r="L57" s="13"/>
      <c r="M57" s="15"/>
      <c r="N57" s="169"/>
      <c r="O57" s="10"/>
      <c r="P57" s="16"/>
      <c r="Q57" s="17"/>
      <c r="R57" s="18"/>
      <c r="S57" s="5"/>
      <c r="T57" s="42">
        <f t="shared" si="16"/>
        <v>999</v>
      </c>
      <c r="U57" s="36"/>
      <c r="V57" s="6"/>
      <c r="W57" s="5"/>
      <c r="AA57" s="8"/>
      <c r="AB57" s="6"/>
      <c r="AC57" s="4"/>
    </row>
    <row r="58" spans="1:29" ht="15" x14ac:dyDescent="0.2">
      <c r="A58" s="3"/>
      <c r="B58" s="13"/>
      <c r="C58" s="14"/>
      <c r="D58" s="14"/>
      <c r="E58" s="8"/>
      <c r="F58" s="8"/>
      <c r="G58" s="8"/>
      <c r="H58" s="12"/>
      <c r="I58" s="37"/>
      <c r="J58" s="38"/>
      <c r="K58" s="11"/>
      <c r="L58" s="13"/>
      <c r="M58" s="15"/>
      <c r="N58" s="169"/>
      <c r="O58" s="10"/>
      <c r="P58" s="16"/>
      <c r="Q58" s="17"/>
      <c r="R58" s="18"/>
      <c r="S58" s="5"/>
      <c r="T58" s="42">
        <f t="shared" si="16"/>
        <v>999</v>
      </c>
      <c r="U58" s="36"/>
      <c r="V58" s="6"/>
      <c r="W58" s="5"/>
      <c r="AA58" s="8"/>
      <c r="AB58" s="6"/>
      <c r="AC58" s="4"/>
    </row>
    <row r="59" spans="1:29" ht="15" x14ac:dyDescent="0.2">
      <c r="A59" s="3"/>
      <c r="B59" s="13"/>
      <c r="C59" s="14"/>
      <c r="D59" s="14"/>
      <c r="E59" s="8"/>
      <c r="F59" s="8"/>
      <c r="G59" s="8"/>
      <c r="H59" s="12"/>
      <c r="I59" s="37"/>
      <c r="J59" s="38"/>
      <c r="K59" s="11"/>
      <c r="L59" s="13"/>
      <c r="M59" s="15"/>
      <c r="N59" s="169"/>
      <c r="O59" s="10"/>
      <c r="P59" s="16"/>
      <c r="Q59" s="17"/>
      <c r="R59" s="18"/>
      <c r="S59" s="5"/>
      <c r="T59" s="42">
        <f t="shared" si="16"/>
        <v>999</v>
      </c>
      <c r="U59" s="36"/>
      <c r="V59" s="6"/>
      <c r="W59" s="5"/>
      <c r="AA59" s="8"/>
      <c r="AB59" s="6"/>
      <c r="AC59" s="4"/>
    </row>
    <row r="60" spans="1:29" ht="15" x14ac:dyDescent="0.2">
      <c r="A60" s="3"/>
      <c r="B60" s="13"/>
      <c r="C60" s="14"/>
      <c r="D60" s="14"/>
      <c r="E60" s="8"/>
      <c r="F60" s="8"/>
      <c r="G60" s="8"/>
      <c r="H60" s="12"/>
      <c r="I60" s="37"/>
      <c r="J60" s="38"/>
      <c r="K60" s="11"/>
      <c r="L60" s="13"/>
      <c r="M60" s="15"/>
      <c r="N60" s="169"/>
      <c r="O60" s="10"/>
      <c r="P60" s="16"/>
      <c r="Q60" s="17"/>
      <c r="R60" s="18"/>
      <c r="S60" s="5"/>
      <c r="T60" s="42">
        <f t="shared" si="16"/>
        <v>999</v>
      </c>
      <c r="U60" s="36"/>
      <c r="V60" s="6"/>
      <c r="W60" s="5"/>
      <c r="AA60" s="8"/>
      <c r="AB60" s="6"/>
      <c r="AC60" s="4"/>
    </row>
    <row r="61" spans="1:29" ht="15" x14ac:dyDescent="0.2">
      <c r="A61" s="3"/>
      <c r="B61" s="13"/>
      <c r="C61" s="14"/>
      <c r="D61" s="14"/>
      <c r="E61" s="8"/>
      <c r="F61" s="8"/>
      <c r="G61" s="8"/>
      <c r="H61" s="12"/>
      <c r="I61" s="37"/>
      <c r="J61" s="38"/>
      <c r="K61" s="11"/>
      <c r="L61" s="13"/>
      <c r="M61" s="15"/>
      <c r="N61" s="169"/>
      <c r="O61" s="10"/>
      <c r="P61" s="16"/>
      <c r="Q61" s="17"/>
      <c r="R61" s="18"/>
      <c r="S61" s="5"/>
      <c r="T61" s="42">
        <f t="shared" si="16"/>
        <v>999</v>
      </c>
      <c r="U61" s="36"/>
      <c r="V61" s="6"/>
      <c r="W61" s="5"/>
      <c r="AA61" s="8"/>
      <c r="AB61" s="6"/>
      <c r="AC61" s="4"/>
    </row>
    <row r="62" spans="1:29" ht="15" x14ac:dyDescent="0.2">
      <c r="A62" s="3"/>
      <c r="B62" s="13"/>
      <c r="C62" s="14"/>
      <c r="D62" s="14"/>
      <c r="E62" s="8"/>
      <c r="F62" s="8"/>
      <c r="G62" s="8"/>
      <c r="H62" s="12"/>
      <c r="I62" s="37"/>
      <c r="J62" s="38"/>
      <c r="K62" s="11"/>
      <c r="L62" s="13"/>
      <c r="M62" s="15"/>
      <c r="N62" s="169"/>
      <c r="O62" s="10"/>
      <c r="P62" s="16"/>
      <c r="Q62" s="17"/>
      <c r="R62" s="18"/>
      <c r="S62" s="5"/>
      <c r="T62" s="42">
        <f t="shared" si="16"/>
        <v>999</v>
      </c>
      <c r="U62" s="36"/>
      <c r="V62" s="6"/>
      <c r="W62" s="5"/>
      <c r="AA62" s="8"/>
      <c r="AB62" s="6"/>
      <c r="AC62" s="4"/>
    </row>
    <row r="63" spans="1:29" ht="15" x14ac:dyDescent="0.2">
      <c r="A63" s="3"/>
      <c r="B63" s="13"/>
      <c r="C63" s="14"/>
      <c r="D63" s="14"/>
      <c r="E63" s="8"/>
      <c r="F63" s="8"/>
      <c r="G63" s="8"/>
      <c r="H63" s="12"/>
      <c r="I63" s="37"/>
      <c r="J63" s="38"/>
      <c r="K63" s="11"/>
      <c r="L63" s="13"/>
      <c r="M63" s="15"/>
      <c r="N63" s="169"/>
      <c r="O63" s="10"/>
      <c r="P63" s="16"/>
      <c r="Q63" s="17"/>
      <c r="R63" s="18"/>
      <c r="S63" s="5"/>
      <c r="T63" s="42">
        <f t="shared" si="16"/>
        <v>999</v>
      </c>
      <c r="U63" s="36"/>
      <c r="V63" s="6"/>
      <c r="W63" s="5"/>
      <c r="AA63" s="8"/>
      <c r="AB63" s="6"/>
      <c r="AC63" s="4"/>
    </row>
    <row r="64" spans="1:29" ht="15" x14ac:dyDescent="0.2">
      <c r="A64" s="3"/>
      <c r="B64" s="13"/>
      <c r="C64" s="14"/>
      <c r="D64" s="14"/>
      <c r="E64" s="8"/>
      <c r="F64" s="8"/>
      <c r="G64" s="8"/>
      <c r="H64" s="12"/>
      <c r="I64" s="37"/>
      <c r="J64" s="38"/>
      <c r="K64" s="11"/>
      <c r="L64" s="13"/>
      <c r="M64" s="15"/>
      <c r="N64" s="169"/>
      <c r="O64" s="10"/>
      <c r="P64" s="16"/>
      <c r="Q64" s="17"/>
      <c r="R64" s="18"/>
      <c r="S64" s="5"/>
      <c r="T64" s="42">
        <f t="shared" si="16"/>
        <v>999</v>
      </c>
      <c r="U64" s="36"/>
      <c r="V64" s="6"/>
      <c r="W64" s="5"/>
      <c r="AA64" s="8"/>
      <c r="AB64" s="6"/>
      <c r="AC64" s="4"/>
    </row>
    <row r="65" spans="1:29" ht="15" x14ac:dyDescent="0.2">
      <c r="A65" s="3"/>
      <c r="B65" s="13"/>
      <c r="C65" s="14"/>
      <c r="D65" s="14"/>
      <c r="E65" s="8"/>
      <c r="F65" s="8"/>
      <c r="G65" s="8"/>
      <c r="H65" s="12"/>
      <c r="I65" s="37"/>
      <c r="J65" s="38"/>
      <c r="K65" s="11"/>
      <c r="L65" s="13"/>
      <c r="M65" s="15"/>
      <c r="N65" s="169"/>
      <c r="O65" s="10"/>
      <c r="P65" s="16"/>
      <c r="Q65" s="17"/>
      <c r="R65" s="18"/>
      <c r="S65" s="5"/>
      <c r="T65" s="42">
        <f t="shared" si="16"/>
        <v>999</v>
      </c>
      <c r="U65" s="36"/>
      <c r="V65" s="6"/>
      <c r="W65" s="5"/>
      <c r="AA65" s="8"/>
      <c r="AB65" s="6"/>
      <c r="AC65" s="4"/>
    </row>
    <row r="66" spans="1:29" ht="15" x14ac:dyDescent="0.2">
      <c r="A66" s="3"/>
      <c r="B66" s="13"/>
      <c r="C66" s="14"/>
      <c r="D66" s="14"/>
      <c r="E66" s="8"/>
      <c r="F66" s="8"/>
      <c r="G66" s="8"/>
      <c r="H66" s="12"/>
      <c r="I66" s="37"/>
      <c r="J66" s="38"/>
      <c r="K66" s="11"/>
      <c r="L66" s="13"/>
      <c r="M66" s="15"/>
      <c r="N66" s="169"/>
      <c r="O66" s="10"/>
      <c r="P66" s="16"/>
      <c r="Q66" s="17"/>
      <c r="R66" s="18"/>
      <c r="S66" s="5"/>
      <c r="T66" s="42">
        <f t="shared" si="16"/>
        <v>999</v>
      </c>
      <c r="U66" s="36"/>
      <c r="V66" s="6"/>
      <c r="W66" s="5"/>
      <c r="AA66" s="8"/>
      <c r="AB66" s="6"/>
      <c r="AC66" s="4"/>
    </row>
    <row r="67" spans="1:29" ht="15" x14ac:dyDescent="0.2">
      <c r="A67" s="3"/>
      <c r="B67" s="13"/>
      <c r="C67" s="14"/>
      <c r="D67" s="14"/>
      <c r="E67" s="8"/>
      <c r="F67" s="8"/>
      <c r="G67" s="8"/>
      <c r="H67" s="12"/>
      <c r="I67" s="37"/>
      <c r="J67" s="38"/>
      <c r="K67" s="11"/>
      <c r="L67" s="13"/>
      <c r="M67" s="15"/>
      <c r="N67" s="169"/>
      <c r="O67" s="10"/>
      <c r="P67" s="16"/>
      <c r="Q67" s="17"/>
      <c r="R67" s="18"/>
      <c r="S67" s="5"/>
      <c r="T67" s="42">
        <f t="shared" si="16"/>
        <v>999</v>
      </c>
      <c r="U67" s="36"/>
      <c r="V67" s="6"/>
      <c r="W67" s="5"/>
      <c r="AA67" s="8"/>
      <c r="AB67" s="6"/>
      <c r="AC67" s="4"/>
    </row>
    <row r="68" spans="1:29" ht="15" x14ac:dyDescent="0.2">
      <c r="A68" s="3"/>
      <c r="B68" s="13"/>
      <c r="C68" s="14"/>
      <c r="D68" s="14"/>
      <c r="E68" s="8"/>
      <c r="F68" s="8"/>
      <c r="G68" s="8"/>
      <c r="H68" s="12"/>
      <c r="I68" s="37"/>
      <c r="J68" s="38"/>
      <c r="K68" s="11"/>
      <c r="L68" s="13"/>
      <c r="M68" s="15"/>
      <c r="N68" s="169"/>
      <c r="O68" s="10"/>
      <c r="P68" s="16"/>
      <c r="Q68" s="17"/>
      <c r="R68" s="18"/>
      <c r="S68" s="5"/>
      <c r="T68" s="42">
        <f t="shared" si="16"/>
        <v>999</v>
      </c>
      <c r="U68" s="36"/>
      <c r="V68" s="6"/>
      <c r="W68" s="5"/>
      <c r="AA68" s="8"/>
      <c r="AB68" s="6"/>
      <c r="AC68" s="4"/>
    </row>
    <row r="69" spans="1:29" ht="15" x14ac:dyDescent="0.2">
      <c r="A69" s="3"/>
      <c r="B69" s="13"/>
      <c r="C69" s="14"/>
      <c r="D69" s="14"/>
      <c r="E69" s="8"/>
      <c r="F69" s="8"/>
      <c r="G69" s="8"/>
      <c r="H69" s="12"/>
      <c r="I69" s="37"/>
      <c r="J69" s="38"/>
      <c r="K69" s="11"/>
      <c r="L69" s="13"/>
      <c r="M69" s="15"/>
      <c r="N69" s="169"/>
      <c r="O69" s="10"/>
      <c r="P69" s="16"/>
      <c r="Q69" s="17"/>
      <c r="R69" s="18"/>
      <c r="S69" s="5"/>
      <c r="T69" s="42">
        <f t="shared" si="16"/>
        <v>999</v>
      </c>
      <c r="U69" s="36"/>
      <c r="V69" s="6"/>
      <c r="W69" s="5"/>
      <c r="AA69" s="8"/>
      <c r="AB69" s="6"/>
      <c r="AC69" s="4"/>
    </row>
    <row r="70" spans="1:29" ht="15" x14ac:dyDescent="0.2">
      <c r="A70" s="3"/>
      <c r="B70" s="13"/>
      <c r="C70" s="14"/>
      <c r="D70" s="14"/>
      <c r="E70" s="8"/>
      <c r="F70" s="8"/>
      <c r="G70" s="8"/>
      <c r="H70" s="12"/>
      <c r="I70" s="37"/>
      <c r="J70" s="38"/>
      <c r="K70" s="11"/>
      <c r="L70" s="13"/>
      <c r="M70" s="15"/>
      <c r="N70" s="169"/>
      <c r="O70" s="10"/>
      <c r="P70" s="16"/>
      <c r="Q70" s="17"/>
      <c r="R70" s="18"/>
      <c r="S70" s="5"/>
      <c r="T70" s="42">
        <f t="shared" si="16"/>
        <v>999</v>
      </c>
      <c r="U70" s="36"/>
      <c r="V70" s="6"/>
      <c r="W70" s="5"/>
      <c r="AA70" s="8"/>
      <c r="AB70" s="6"/>
      <c r="AC70" s="4"/>
    </row>
    <row r="71" spans="1:29" ht="15" x14ac:dyDescent="0.2">
      <c r="A71" s="3"/>
      <c r="B71" s="13"/>
      <c r="C71" s="14"/>
      <c r="D71" s="14"/>
      <c r="E71" s="8"/>
      <c r="F71" s="8"/>
      <c r="G71" s="8"/>
      <c r="H71" s="12"/>
      <c r="I71" s="37"/>
      <c r="J71" s="38"/>
      <c r="K71" s="11"/>
      <c r="L71" s="13"/>
      <c r="M71" s="15"/>
      <c r="N71" s="169"/>
      <c r="O71" s="10"/>
      <c r="P71" s="16"/>
      <c r="Q71" s="17"/>
      <c r="R71" s="18"/>
      <c r="S71" s="5"/>
      <c r="T71" s="42">
        <f t="shared" si="16"/>
        <v>999</v>
      </c>
      <c r="U71" s="36"/>
      <c r="V71" s="6"/>
      <c r="W71" s="5"/>
      <c r="AA71" s="8"/>
      <c r="AB71" s="6"/>
      <c r="AC71" s="4"/>
    </row>
    <row r="72" spans="1:29" ht="15" x14ac:dyDescent="0.2">
      <c r="A72" s="3"/>
      <c r="B72" s="13"/>
      <c r="C72" s="14"/>
      <c r="D72" s="14"/>
      <c r="E72" s="8"/>
      <c r="F72" s="8"/>
      <c r="G72" s="8"/>
      <c r="H72" s="12"/>
      <c r="I72" s="37"/>
      <c r="J72" s="38"/>
      <c r="K72" s="11"/>
      <c r="L72" s="13"/>
      <c r="M72" s="15"/>
      <c r="N72" s="169"/>
      <c r="O72" s="10"/>
      <c r="P72" s="16"/>
      <c r="Q72" s="17"/>
      <c r="R72" s="18"/>
      <c r="S72" s="5"/>
      <c r="T72" s="42">
        <f t="shared" si="16"/>
        <v>999</v>
      </c>
      <c r="U72" s="36"/>
      <c r="V72" s="6"/>
      <c r="W72" s="5"/>
      <c r="AA72" s="8"/>
      <c r="AB72" s="6"/>
      <c r="AC72" s="4"/>
    </row>
    <row r="73" spans="1:29" ht="15" x14ac:dyDescent="0.2">
      <c r="A73" s="3"/>
      <c r="B73" s="13"/>
      <c r="C73" s="14"/>
      <c r="D73" s="14"/>
      <c r="E73" s="8"/>
      <c r="F73" s="8"/>
      <c r="G73" s="8"/>
      <c r="H73" s="12"/>
      <c r="I73" s="37"/>
      <c r="J73" s="38"/>
      <c r="K73" s="11"/>
      <c r="L73" s="13"/>
      <c r="M73" s="15"/>
      <c r="N73" s="169"/>
      <c r="O73" s="10"/>
      <c r="P73" s="16"/>
      <c r="Q73" s="17"/>
      <c r="R73" s="18"/>
      <c r="S73" s="5"/>
      <c r="T73" s="42">
        <f t="shared" ref="T73:T101" si="18">IF($D$2&gt;=(S73-0.1),999,S73)</f>
        <v>999</v>
      </c>
      <c r="U73" s="36"/>
      <c r="V73" s="6"/>
      <c r="W73" s="5"/>
      <c r="AA73" s="8"/>
      <c r="AB73" s="6"/>
      <c r="AC73" s="4"/>
    </row>
    <row r="74" spans="1:29" ht="15" x14ac:dyDescent="0.2">
      <c r="A74" s="3"/>
      <c r="B74" s="13"/>
      <c r="C74" s="14"/>
      <c r="D74" s="14"/>
      <c r="E74" s="8"/>
      <c r="F74" s="8"/>
      <c r="G74" s="8"/>
      <c r="H74" s="12"/>
      <c r="I74" s="37"/>
      <c r="J74" s="38"/>
      <c r="K74" s="11"/>
      <c r="L74" s="13"/>
      <c r="M74" s="15"/>
      <c r="N74" s="169"/>
      <c r="O74" s="10"/>
      <c r="P74" s="16"/>
      <c r="Q74" s="17"/>
      <c r="R74" s="18"/>
      <c r="S74" s="5"/>
      <c r="T74" s="42">
        <f t="shared" si="18"/>
        <v>999</v>
      </c>
      <c r="U74" s="36"/>
      <c r="V74" s="6"/>
      <c r="W74" s="5"/>
      <c r="AA74" s="8"/>
      <c r="AB74" s="6"/>
      <c r="AC74" s="4"/>
    </row>
    <row r="75" spans="1:29" ht="15" x14ac:dyDescent="0.2">
      <c r="A75" s="3"/>
      <c r="B75" s="13"/>
      <c r="C75" s="14"/>
      <c r="D75" s="14"/>
      <c r="E75" s="8"/>
      <c r="F75" s="8"/>
      <c r="G75" s="8"/>
      <c r="H75" s="12"/>
      <c r="I75" s="37"/>
      <c r="J75" s="38"/>
      <c r="K75" s="11"/>
      <c r="L75" s="13"/>
      <c r="M75" s="15"/>
      <c r="N75" s="169"/>
      <c r="O75" s="10"/>
      <c r="P75" s="16"/>
      <c r="Q75" s="17"/>
      <c r="R75" s="18"/>
      <c r="S75" s="5"/>
      <c r="T75" s="42">
        <f t="shared" si="18"/>
        <v>999</v>
      </c>
      <c r="U75" s="36"/>
      <c r="V75" s="6"/>
      <c r="W75" s="5"/>
      <c r="AA75" s="8"/>
      <c r="AB75" s="6"/>
      <c r="AC75" s="4"/>
    </row>
    <row r="76" spans="1:29" ht="15" x14ac:dyDescent="0.2">
      <c r="A76" s="3"/>
      <c r="B76" s="13"/>
      <c r="C76" s="14"/>
      <c r="D76" s="14"/>
      <c r="E76" s="8"/>
      <c r="F76" s="8"/>
      <c r="G76" s="8"/>
      <c r="H76" s="12"/>
      <c r="I76" s="37"/>
      <c r="J76" s="38"/>
      <c r="K76" s="11"/>
      <c r="L76" s="13"/>
      <c r="M76" s="15"/>
      <c r="N76" s="169"/>
      <c r="O76" s="10"/>
      <c r="P76" s="16"/>
      <c r="Q76" s="17"/>
      <c r="R76" s="18"/>
      <c r="S76" s="5"/>
      <c r="T76" s="42">
        <f t="shared" si="18"/>
        <v>999</v>
      </c>
      <c r="U76" s="36"/>
      <c r="V76" s="6"/>
      <c r="W76" s="5"/>
      <c r="AA76" s="8"/>
      <c r="AB76" s="6"/>
      <c r="AC76" s="4"/>
    </row>
    <row r="77" spans="1:29" ht="15" x14ac:dyDescent="0.2">
      <c r="A77" s="3"/>
      <c r="B77" s="13"/>
      <c r="C77" s="14"/>
      <c r="D77" s="14"/>
      <c r="E77" s="8"/>
      <c r="F77" s="8"/>
      <c r="G77" s="8"/>
      <c r="H77" s="12"/>
      <c r="I77" s="37"/>
      <c r="J77" s="38"/>
      <c r="K77" s="11"/>
      <c r="L77" s="13"/>
      <c r="M77" s="15"/>
      <c r="N77" s="169"/>
      <c r="O77" s="10"/>
      <c r="P77" s="16"/>
      <c r="Q77" s="17"/>
      <c r="R77" s="18"/>
      <c r="S77" s="5"/>
      <c r="T77" s="42">
        <f t="shared" si="18"/>
        <v>999</v>
      </c>
      <c r="U77" s="36"/>
      <c r="V77" s="6"/>
      <c r="W77" s="5"/>
      <c r="AA77" s="8"/>
      <c r="AB77" s="6"/>
      <c r="AC77" s="4"/>
    </row>
    <row r="78" spans="1:29" ht="15" x14ac:dyDescent="0.2">
      <c r="A78" s="3"/>
      <c r="B78" s="13"/>
      <c r="C78" s="14"/>
      <c r="D78" s="14"/>
      <c r="E78" s="8"/>
      <c r="F78" s="8"/>
      <c r="G78" s="8"/>
      <c r="H78" s="12"/>
      <c r="I78" s="37"/>
      <c r="J78" s="38"/>
      <c r="K78" s="11"/>
      <c r="L78" s="13"/>
      <c r="M78" s="15"/>
      <c r="N78" s="169"/>
      <c r="O78" s="10"/>
      <c r="P78" s="16"/>
      <c r="Q78" s="17"/>
      <c r="R78" s="18"/>
      <c r="S78" s="5"/>
      <c r="T78" s="42">
        <f t="shared" si="18"/>
        <v>999</v>
      </c>
      <c r="U78" s="36"/>
      <c r="V78" s="6"/>
      <c r="W78" s="5"/>
      <c r="AA78" s="8"/>
      <c r="AB78" s="6"/>
      <c r="AC78" s="4"/>
    </row>
    <row r="79" spans="1:29" ht="15" x14ac:dyDescent="0.2">
      <c r="A79" s="3"/>
      <c r="B79" s="13"/>
      <c r="C79" s="14"/>
      <c r="D79" s="14"/>
      <c r="E79" s="8"/>
      <c r="F79" s="8"/>
      <c r="G79" s="8"/>
      <c r="H79" s="12"/>
      <c r="I79" s="37"/>
      <c r="J79" s="38"/>
      <c r="K79" s="11"/>
      <c r="L79" s="13"/>
      <c r="M79" s="15"/>
      <c r="N79" s="169"/>
      <c r="O79" s="10"/>
      <c r="P79" s="16"/>
      <c r="Q79" s="17"/>
      <c r="R79" s="18"/>
      <c r="S79" s="5"/>
      <c r="T79" s="42">
        <f t="shared" si="18"/>
        <v>999</v>
      </c>
      <c r="U79" s="36"/>
      <c r="V79" s="6"/>
      <c r="W79" s="5"/>
      <c r="AA79" s="8"/>
      <c r="AB79" s="6"/>
      <c r="AC79" s="4"/>
    </row>
    <row r="80" spans="1:29" ht="15" x14ac:dyDescent="0.2">
      <c r="A80" s="3"/>
      <c r="B80" s="13"/>
      <c r="C80" s="14"/>
      <c r="D80" s="14"/>
      <c r="E80" s="8"/>
      <c r="F80" s="8"/>
      <c r="G80" s="8"/>
      <c r="H80" s="12"/>
      <c r="I80" s="37"/>
      <c r="J80" s="38"/>
      <c r="K80" s="11"/>
      <c r="L80" s="13"/>
      <c r="M80" s="15"/>
      <c r="N80" s="169"/>
      <c r="O80" s="10"/>
      <c r="P80" s="16"/>
      <c r="Q80" s="17"/>
      <c r="R80" s="18"/>
      <c r="S80" s="5"/>
      <c r="T80" s="42">
        <f t="shared" si="18"/>
        <v>999</v>
      </c>
      <c r="U80" s="36"/>
      <c r="V80" s="6"/>
      <c r="W80" s="5"/>
      <c r="AA80" s="8"/>
      <c r="AB80" s="6"/>
      <c r="AC80" s="4"/>
    </row>
    <row r="81" spans="1:29" ht="15" x14ac:dyDescent="0.2">
      <c r="A81" s="3"/>
      <c r="B81" s="13"/>
      <c r="C81" s="14"/>
      <c r="D81" s="14"/>
      <c r="E81" s="8"/>
      <c r="F81" s="8"/>
      <c r="G81" s="8"/>
      <c r="H81" s="12"/>
      <c r="I81" s="37"/>
      <c r="J81" s="38"/>
      <c r="K81" s="11"/>
      <c r="L81" s="13"/>
      <c r="M81" s="15"/>
      <c r="N81" s="169"/>
      <c r="O81" s="10"/>
      <c r="P81" s="16"/>
      <c r="Q81" s="17"/>
      <c r="R81" s="18"/>
      <c r="S81" s="5"/>
      <c r="T81" s="42">
        <f t="shared" si="18"/>
        <v>999</v>
      </c>
      <c r="U81" s="36"/>
      <c r="V81" s="6"/>
      <c r="W81" s="5"/>
      <c r="AA81" s="8"/>
      <c r="AB81" s="6"/>
      <c r="AC81" s="4"/>
    </row>
    <row r="82" spans="1:29" ht="15.95" customHeight="1" x14ac:dyDescent="0.2">
      <c r="A82" s="3"/>
      <c r="B82" s="13"/>
      <c r="C82" s="14"/>
      <c r="D82" s="14"/>
      <c r="E82" s="8"/>
      <c r="F82" s="8"/>
      <c r="G82" s="8"/>
      <c r="H82" s="12"/>
      <c r="I82" s="37"/>
      <c r="J82" s="38"/>
      <c r="K82" s="11"/>
      <c r="L82" s="13"/>
      <c r="M82" s="15"/>
      <c r="N82" s="169"/>
      <c r="O82" s="10"/>
      <c r="P82" s="16"/>
      <c r="Q82" s="17"/>
      <c r="R82" s="18"/>
      <c r="S82" s="5"/>
      <c r="T82" s="42">
        <f t="shared" si="18"/>
        <v>999</v>
      </c>
      <c r="U82" s="36"/>
      <c r="V82" s="6"/>
      <c r="W82" s="5"/>
      <c r="AA82" s="8"/>
      <c r="AB82" s="6"/>
      <c r="AC82" s="4"/>
    </row>
    <row r="83" spans="1:29" ht="15" x14ac:dyDescent="0.2">
      <c r="A83" s="3"/>
      <c r="B83" s="13"/>
      <c r="C83" s="14"/>
      <c r="D83" s="14"/>
      <c r="E83" s="8"/>
      <c r="F83" s="8"/>
      <c r="G83" s="8"/>
      <c r="H83" s="12"/>
      <c r="I83" s="37"/>
      <c r="J83" s="38"/>
      <c r="K83" s="11"/>
      <c r="L83" s="13"/>
      <c r="M83" s="15"/>
      <c r="N83" s="169"/>
      <c r="O83" s="10"/>
      <c r="P83" s="16"/>
      <c r="Q83" s="17"/>
      <c r="R83" s="18"/>
      <c r="S83" s="6"/>
      <c r="T83" s="42">
        <f t="shared" si="18"/>
        <v>999</v>
      </c>
      <c r="U83" s="36"/>
      <c r="V83" s="6"/>
      <c r="W83" s="5"/>
      <c r="AA83" s="8"/>
      <c r="AB83" s="6"/>
      <c r="AC83" s="4"/>
    </row>
    <row r="84" spans="1:29" ht="15" x14ac:dyDescent="0.2">
      <c r="A84" s="3"/>
      <c r="B84" s="13"/>
      <c r="C84" s="14"/>
      <c r="D84" s="14"/>
      <c r="E84" s="8"/>
      <c r="F84" s="8"/>
      <c r="G84" s="8"/>
      <c r="H84" s="12"/>
      <c r="I84" s="37"/>
      <c r="J84" s="38"/>
      <c r="K84" s="11"/>
      <c r="L84" s="13"/>
      <c r="M84" s="15"/>
      <c r="N84" s="169"/>
      <c r="O84" s="10"/>
      <c r="P84" s="16"/>
      <c r="Q84" s="17"/>
      <c r="R84" s="18"/>
      <c r="S84" s="6"/>
      <c r="T84" s="42">
        <f t="shared" si="18"/>
        <v>999</v>
      </c>
      <c r="U84" s="36"/>
      <c r="V84" s="6"/>
      <c r="W84" s="5"/>
      <c r="AA84" s="8"/>
      <c r="AB84" s="6"/>
      <c r="AC84" s="4"/>
    </row>
    <row r="85" spans="1:29" ht="15" x14ac:dyDescent="0.2">
      <c r="A85" s="3"/>
      <c r="B85" s="13"/>
      <c r="C85" s="14"/>
      <c r="D85" s="14"/>
      <c r="E85" s="8"/>
      <c r="F85" s="8"/>
      <c r="G85" s="8"/>
      <c r="H85" s="12"/>
      <c r="I85" s="37"/>
      <c r="J85" s="38"/>
      <c r="K85" s="11"/>
      <c r="L85" s="13"/>
      <c r="M85" s="15"/>
      <c r="N85" s="169"/>
      <c r="O85" s="10"/>
      <c r="P85" s="16"/>
      <c r="Q85" s="17"/>
      <c r="R85" s="18"/>
      <c r="S85" s="6"/>
      <c r="T85" s="42">
        <f t="shared" si="18"/>
        <v>999</v>
      </c>
      <c r="U85" s="36"/>
      <c r="V85" s="6"/>
      <c r="W85" s="5"/>
      <c r="AA85" s="8"/>
      <c r="AB85" s="6"/>
      <c r="AC85" s="4"/>
    </row>
    <row r="86" spans="1:29" ht="15" x14ac:dyDescent="0.2">
      <c r="A86" s="3"/>
      <c r="B86" s="13"/>
      <c r="C86" s="14"/>
      <c r="D86" s="14"/>
      <c r="E86" s="8"/>
      <c r="F86" s="8"/>
      <c r="G86" s="8"/>
      <c r="H86" s="12"/>
      <c r="I86" s="37"/>
      <c r="J86" s="38"/>
      <c r="K86" s="11"/>
      <c r="L86" s="13"/>
      <c r="M86" s="15"/>
      <c r="N86" s="169"/>
      <c r="O86" s="10"/>
      <c r="P86" s="16"/>
      <c r="Q86" s="17"/>
      <c r="R86" s="18"/>
      <c r="S86" s="6"/>
      <c r="T86" s="42">
        <f t="shared" si="18"/>
        <v>999</v>
      </c>
      <c r="U86" s="36"/>
      <c r="V86" s="6"/>
      <c r="W86" s="5"/>
      <c r="AA86" s="8"/>
      <c r="AB86" s="6"/>
      <c r="AC86" s="4"/>
    </row>
    <row r="87" spans="1:29" ht="15" x14ac:dyDescent="0.2">
      <c r="A87" s="3"/>
      <c r="B87" s="13"/>
      <c r="C87" s="14"/>
      <c r="D87" s="14"/>
      <c r="E87" s="8"/>
      <c r="F87" s="8"/>
      <c r="G87" s="8"/>
      <c r="H87" s="12"/>
      <c r="I87" s="37"/>
      <c r="J87" s="38"/>
      <c r="K87" s="11"/>
      <c r="L87" s="13"/>
      <c r="M87" s="15"/>
      <c r="N87" s="169"/>
      <c r="O87" s="10"/>
      <c r="P87" s="16"/>
      <c r="Q87" s="17"/>
      <c r="R87" s="18"/>
      <c r="S87" s="6"/>
      <c r="T87" s="42">
        <f t="shared" si="18"/>
        <v>999</v>
      </c>
      <c r="U87" s="36"/>
      <c r="V87" s="6"/>
      <c r="W87" s="5"/>
      <c r="AA87" s="8"/>
      <c r="AB87" s="6"/>
      <c r="AC87" s="4"/>
    </row>
    <row r="88" spans="1:29" ht="15" x14ac:dyDescent="0.2">
      <c r="A88" s="3"/>
      <c r="B88" s="13"/>
      <c r="C88" s="14"/>
      <c r="D88" s="14"/>
      <c r="E88" s="8"/>
      <c r="F88" s="8"/>
      <c r="G88" s="8"/>
      <c r="H88" s="12"/>
      <c r="I88" s="37"/>
      <c r="J88" s="38"/>
      <c r="K88" s="11"/>
      <c r="L88" s="13"/>
      <c r="M88" s="15"/>
      <c r="N88" s="169"/>
      <c r="O88" s="10"/>
      <c r="P88" s="16"/>
      <c r="Q88" s="17"/>
      <c r="R88" s="18"/>
      <c r="S88" s="6"/>
      <c r="T88" s="42">
        <f t="shared" si="18"/>
        <v>999</v>
      </c>
      <c r="U88" s="36"/>
      <c r="V88" s="6"/>
      <c r="W88" s="5"/>
      <c r="AA88" s="8"/>
      <c r="AB88" s="6"/>
      <c r="AC88" s="4"/>
    </row>
    <row r="89" spans="1:29" ht="15" x14ac:dyDescent="0.2">
      <c r="A89" s="3"/>
      <c r="B89" s="13"/>
      <c r="C89" s="14"/>
      <c r="D89" s="14"/>
      <c r="E89" s="8"/>
      <c r="F89" s="8"/>
      <c r="G89" s="8"/>
      <c r="H89" s="12"/>
      <c r="I89" s="37"/>
      <c r="J89" s="38"/>
      <c r="K89" s="11"/>
      <c r="L89" s="13"/>
      <c r="M89" s="15"/>
      <c r="N89" s="169"/>
      <c r="O89" s="10"/>
      <c r="P89" s="16"/>
      <c r="Q89" s="17"/>
      <c r="R89" s="18"/>
      <c r="S89" s="6"/>
      <c r="T89" s="42">
        <f t="shared" si="18"/>
        <v>999</v>
      </c>
      <c r="U89" s="36"/>
      <c r="V89" s="6"/>
      <c r="W89" s="5"/>
      <c r="AA89" s="8"/>
      <c r="AB89" s="6"/>
      <c r="AC89" s="4"/>
    </row>
    <row r="90" spans="1:29" ht="15" x14ac:dyDescent="0.2">
      <c r="A90" s="3"/>
      <c r="B90" s="13"/>
      <c r="C90" s="14"/>
      <c r="D90" s="14"/>
      <c r="E90" s="8"/>
      <c r="F90" s="8"/>
      <c r="G90" s="8"/>
      <c r="H90" s="12"/>
      <c r="I90" s="37"/>
      <c r="J90" s="38"/>
      <c r="K90" s="11"/>
      <c r="L90" s="13"/>
      <c r="M90" s="15"/>
      <c r="N90" s="169"/>
      <c r="O90" s="10"/>
      <c r="P90" s="16"/>
      <c r="Q90" s="17"/>
      <c r="R90" s="18"/>
      <c r="S90" s="6"/>
      <c r="T90" s="42">
        <f t="shared" si="18"/>
        <v>999</v>
      </c>
      <c r="U90" s="36"/>
      <c r="V90" s="6"/>
      <c r="W90" s="5"/>
      <c r="AA90" s="8"/>
      <c r="AB90" s="6"/>
      <c r="AC90" s="4"/>
    </row>
    <row r="91" spans="1:29" ht="15" x14ac:dyDescent="0.2">
      <c r="A91" s="3"/>
      <c r="B91" s="13"/>
      <c r="C91" s="14"/>
      <c r="D91" s="14"/>
      <c r="E91" s="8"/>
      <c r="F91" s="8"/>
      <c r="G91" s="8"/>
      <c r="H91" s="12"/>
      <c r="I91" s="37"/>
      <c r="J91" s="38"/>
      <c r="K91" s="11"/>
      <c r="L91" s="13"/>
      <c r="M91" s="15"/>
      <c r="N91" s="169"/>
      <c r="O91" s="10"/>
      <c r="P91" s="16"/>
      <c r="Q91" s="17"/>
      <c r="R91" s="18"/>
      <c r="S91" s="6"/>
      <c r="T91" s="42">
        <f t="shared" si="18"/>
        <v>999</v>
      </c>
      <c r="U91" s="4"/>
      <c r="V91" s="6"/>
      <c r="W91" s="5"/>
      <c r="AA91" s="4"/>
      <c r="AB91" s="6"/>
      <c r="AC91" s="4"/>
    </row>
    <row r="92" spans="1:29" ht="15" x14ac:dyDescent="0.2">
      <c r="A92" s="3"/>
      <c r="B92" s="13"/>
      <c r="C92" s="14"/>
      <c r="D92" s="14"/>
      <c r="E92" s="8"/>
      <c r="F92" s="8"/>
      <c r="G92" s="8"/>
      <c r="H92" s="12"/>
      <c r="I92" s="37"/>
      <c r="J92" s="38"/>
      <c r="K92" s="11"/>
      <c r="L92" s="13"/>
      <c r="M92" s="15"/>
      <c r="N92" s="169"/>
      <c r="O92" s="10"/>
      <c r="P92" s="16"/>
      <c r="Q92" s="17"/>
      <c r="R92" s="18"/>
      <c r="S92" s="6"/>
      <c r="T92" s="42">
        <f t="shared" si="18"/>
        <v>999</v>
      </c>
      <c r="U92" s="4"/>
      <c r="V92" s="6"/>
      <c r="W92" s="5"/>
      <c r="AA92" s="4"/>
      <c r="AB92" s="6"/>
      <c r="AC92" s="4"/>
    </row>
    <row r="93" spans="1:29" ht="15" x14ac:dyDescent="0.2">
      <c r="A93" s="3"/>
      <c r="B93" s="13"/>
      <c r="C93" s="14"/>
      <c r="D93" s="14"/>
      <c r="E93" s="8"/>
      <c r="F93" s="8"/>
      <c r="G93" s="8"/>
      <c r="H93" s="12"/>
      <c r="I93" s="37"/>
      <c r="J93" s="38"/>
      <c r="K93" s="11"/>
      <c r="L93" s="13"/>
      <c r="M93" s="15"/>
      <c r="N93" s="169"/>
      <c r="O93" s="10"/>
      <c r="P93" s="16"/>
      <c r="Q93" s="17"/>
      <c r="R93" s="18"/>
      <c r="S93" s="6"/>
      <c r="T93" s="42">
        <f t="shared" si="18"/>
        <v>999</v>
      </c>
      <c r="U93" s="4"/>
      <c r="V93" s="6"/>
      <c r="W93" s="5"/>
      <c r="AA93" s="4"/>
      <c r="AB93" s="6"/>
      <c r="AC93" s="4"/>
    </row>
    <row r="94" spans="1:29" ht="15" x14ac:dyDescent="0.2">
      <c r="A94" s="3"/>
      <c r="B94" s="13"/>
      <c r="C94" s="14"/>
      <c r="D94" s="14"/>
      <c r="E94" s="11"/>
      <c r="F94" s="11"/>
      <c r="G94" s="11"/>
      <c r="H94" s="12"/>
      <c r="I94" s="13"/>
      <c r="J94" s="13"/>
      <c r="K94" s="13"/>
      <c r="L94" s="13"/>
      <c r="M94" s="15"/>
      <c r="N94" s="169"/>
      <c r="O94" s="10"/>
      <c r="P94" s="16"/>
      <c r="Q94" s="17"/>
      <c r="R94" s="18"/>
      <c r="S94" s="4"/>
      <c r="T94" s="42">
        <f t="shared" si="18"/>
        <v>999</v>
      </c>
      <c r="U94" s="4"/>
      <c r="V94" s="6"/>
      <c r="W94" s="5"/>
      <c r="AA94" s="4"/>
      <c r="AB94" s="6"/>
      <c r="AC94" s="4"/>
    </row>
    <row r="95" spans="1:29" ht="15" x14ac:dyDescent="0.2">
      <c r="A95" s="3"/>
      <c r="B95" s="13"/>
      <c r="C95" s="14"/>
      <c r="D95" s="11"/>
      <c r="E95" s="11"/>
      <c r="F95" s="11"/>
      <c r="G95" s="11"/>
      <c r="H95" s="12"/>
      <c r="I95" s="13"/>
      <c r="J95" s="13"/>
      <c r="K95" s="13"/>
      <c r="L95" s="13"/>
      <c r="M95" s="15"/>
      <c r="N95" s="169"/>
      <c r="O95" s="10"/>
      <c r="P95" s="16"/>
      <c r="Q95" s="17"/>
      <c r="R95" s="18"/>
      <c r="S95" s="4"/>
      <c r="T95" s="42">
        <f t="shared" si="18"/>
        <v>999</v>
      </c>
      <c r="U95" s="4"/>
      <c r="V95" s="6"/>
      <c r="W95" s="5"/>
      <c r="AA95" s="4"/>
      <c r="AB95" s="6"/>
      <c r="AC95" s="4"/>
    </row>
    <row r="96" spans="1:29" ht="15" x14ac:dyDescent="0.2">
      <c r="A96" s="3"/>
      <c r="B96" s="13"/>
      <c r="C96" s="14"/>
      <c r="D96" s="11"/>
      <c r="E96" s="11"/>
      <c r="F96" s="11"/>
      <c r="G96" s="11"/>
      <c r="H96" s="12"/>
      <c r="I96" s="13"/>
      <c r="J96" s="13"/>
      <c r="K96" s="13"/>
      <c r="L96" s="13"/>
      <c r="M96" s="15"/>
      <c r="N96" s="169"/>
      <c r="O96" s="10"/>
      <c r="P96" s="16"/>
      <c r="Q96" s="17"/>
      <c r="R96" s="18"/>
      <c r="S96" s="4"/>
      <c r="T96" s="42">
        <f t="shared" si="18"/>
        <v>999</v>
      </c>
      <c r="U96" s="4"/>
      <c r="V96" s="6"/>
      <c r="W96" s="5"/>
      <c r="AA96" s="4"/>
      <c r="AB96" s="6"/>
      <c r="AC96" s="4"/>
    </row>
    <row r="97" spans="1:29" ht="15" x14ac:dyDescent="0.2">
      <c r="A97" s="3"/>
      <c r="B97" s="13"/>
      <c r="C97" s="14"/>
      <c r="D97" s="11"/>
      <c r="E97" s="11"/>
      <c r="F97" s="11"/>
      <c r="G97" s="11"/>
      <c r="H97" s="12"/>
      <c r="I97" s="13"/>
      <c r="J97" s="13"/>
      <c r="K97" s="13"/>
      <c r="L97" s="13"/>
      <c r="M97" s="15"/>
      <c r="N97" s="169"/>
      <c r="O97" s="10"/>
      <c r="P97" s="16"/>
      <c r="Q97" s="17"/>
      <c r="R97" s="18"/>
      <c r="S97" s="4"/>
      <c r="T97" s="42">
        <f t="shared" si="18"/>
        <v>999</v>
      </c>
      <c r="U97" s="4"/>
      <c r="V97" s="6"/>
      <c r="W97" s="5"/>
      <c r="AA97" s="4"/>
      <c r="AB97" s="6"/>
      <c r="AC97" s="4"/>
    </row>
    <row r="98" spans="1:29" ht="15" x14ac:dyDescent="0.2">
      <c r="A98" s="3"/>
      <c r="B98" s="13"/>
      <c r="C98" s="14"/>
      <c r="D98" s="11"/>
      <c r="E98" s="11"/>
      <c r="F98" s="11"/>
      <c r="G98" s="11"/>
      <c r="H98" s="12"/>
      <c r="I98" s="13"/>
      <c r="J98" s="13"/>
      <c r="K98" s="13"/>
      <c r="L98" s="13"/>
      <c r="M98" s="15"/>
      <c r="N98" s="169"/>
      <c r="O98" s="10"/>
      <c r="P98" s="16"/>
      <c r="Q98" s="17"/>
      <c r="R98" s="18"/>
      <c r="S98" s="4"/>
      <c r="T98" s="42">
        <f t="shared" si="18"/>
        <v>999</v>
      </c>
      <c r="U98" s="4"/>
      <c r="V98" s="6"/>
      <c r="W98" s="5"/>
      <c r="AA98" s="4"/>
      <c r="AB98" s="6"/>
      <c r="AC98" s="4"/>
    </row>
    <row r="99" spans="1:29" ht="15" x14ac:dyDescent="0.2">
      <c r="A99" s="3"/>
      <c r="B99" s="13"/>
      <c r="C99" s="14"/>
      <c r="D99" s="11"/>
      <c r="E99" s="11"/>
      <c r="F99" s="11"/>
      <c r="G99" s="11"/>
      <c r="H99" s="12"/>
      <c r="I99" s="13"/>
      <c r="J99" s="13"/>
      <c r="K99" s="13"/>
      <c r="L99" s="13"/>
      <c r="M99" s="15"/>
      <c r="N99" s="169"/>
      <c r="O99" s="10"/>
      <c r="P99" s="16"/>
      <c r="Q99" s="17"/>
      <c r="R99" s="18"/>
      <c r="S99" s="4"/>
      <c r="T99" s="42">
        <f t="shared" si="18"/>
        <v>999</v>
      </c>
      <c r="U99" s="4"/>
      <c r="V99" s="6"/>
      <c r="W99" s="5"/>
      <c r="AA99" s="4"/>
      <c r="AB99" s="6"/>
      <c r="AC99" s="4"/>
    </row>
    <row r="100" spans="1:29" ht="15" x14ac:dyDescent="0.2">
      <c r="A100" s="3"/>
      <c r="B100" s="13"/>
      <c r="C100" s="14"/>
      <c r="D100" s="11"/>
      <c r="E100" s="11"/>
      <c r="F100" s="11"/>
      <c r="G100" s="11"/>
      <c r="H100" s="12"/>
      <c r="I100" s="13"/>
      <c r="J100" s="13"/>
      <c r="K100" s="13"/>
      <c r="L100" s="13"/>
      <c r="M100" s="15"/>
      <c r="N100" s="169"/>
      <c r="O100" s="10"/>
      <c r="P100" s="16"/>
      <c r="Q100" s="17"/>
      <c r="R100" s="18"/>
      <c r="S100" s="4"/>
      <c r="T100" s="42">
        <f t="shared" si="18"/>
        <v>999</v>
      </c>
      <c r="U100" s="4"/>
      <c r="V100" s="6"/>
      <c r="W100" s="5"/>
      <c r="AA100" s="4"/>
      <c r="AB100" s="6"/>
      <c r="AC100" s="4"/>
    </row>
    <row r="101" spans="1:29" ht="15" x14ac:dyDescent="0.2">
      <c r="A101" s="3"/>
      <c r="B101" s="13"/>
      <c r="C101" s="14"/>
      <c r="D101" s="11"/>
      <c r="E101" s="11"/>
      <c r="F101" s="11"/>
      <c r="G101" s="11"/>
      <c r="H101" s="12"/>
      <c r="I101" s="13"/>
      <c r="J101" s="13"/>
      <c r="K101" s="13"/>
      <c r="L101" s="13"/>
      <c r="M101" s="15"/>
      <c r="N101" s="169"/>
      <c r="O101" s="10"/>
      <c r="P101" s="16"/>
      <c r="Q101" s="17"/>
      <c r="R101" s="18"/>
      <c r="S101" s="4"/>
      <c r="T101" s="42">
        <f t="shared" si="18"/>
        <v>999</v>
      </c>
      <c r="U101" s="4"/>
      <c r="V101" s="6"/>
      <c r="W101" s="5"/>
      <c r="AA101" s="4"/>
      <c r="AB101" s="6"/>
      <c r="AC101" s="4"/>
    </row>
    <row r="102" spans="1:29" ht="15" x14ac:dyDescent="0.2">
      <c r="A102" s="3"/>
      <c r="B102" s="13"/>
      <c r="C102" s="14"/>
      <c r="D102" s="11"/>
      <c r="E102" s="11"/>
      <c r="F102" s="11"/>
      <c r="G102" s="11"/>
      <c r="H102" s="12"/>
      <c r="I102" s="13"/>
      <c r="J102" s="13"/>
      <c r="K102" s="13"/>
      <c r="L102" s="13"/>
      <c r="M102" s="15"/>
      <c r="N102" s="169"/>
      <c r="O102" s="10"/>
      <c r="P102" s="16"/>
      <c r="Q102" s="17"/>
      <c r="R102" s="18"/>
      <c r="S102" s="4"/>
      <c r="U102" s="4"/>
      <c r="V102" s="6"/>
      <c r="W102" s="5"/>
      <c r="AA102" s="4"/>
      <c r="AB102" s="6"/>
      <c r="AC102" s="4"/>
    </row>
    <row r="103" spans="1:29" ht="15" x14ac:dyDescent="0.2">
      <c r="A103" s="3"/>
      <c r="B103" s="13"/>
      <c r="C103" s="14"/>
      <c r="D103" s="11"/>
      <c r="E103" s="11"/>
      <c r="F103" s="11"/>
      <c r="G103" s="11"/>
      <c r="H103" s="12"/>
      <c r="I103" s="13"/>
      <c r="J103" s="3"/>
      <c r="K103" s="3"/>
      <c r="L103" s="3"/>
      <c r="M103" s="3"/>
      <c r="N103" s="3"/>
      <c r="O103" s="10"/>
      <c r="P103" s="10"/>
      <c r="Q103" s="3"/>
      <c r="R103" s="3"/>
      <c r="S103" s="4"/>
      <c r="U103" s="4"/>
      <c r="V103" s="6"/>
      <c r="W103" s="5"/>
      <c r="AA103" s="4"/>
      <c r="AB103" s="6"/>
      <c r="AC103" s="4"/>
    </row>
    <row r="104" spans="1:29" ht="15" x14ac:dyDescent="0.2">
      <c r="A104" s="3"/>
      <c r="B104" s="13"/>
      <c r="C104" s="14"/>
      <c r="D104" s="11"/>
      <c r="E104" s="3"/>
      <c r="F104" s="3"/>
      <c r="G104" s="3"/>
      <c r="H104" s="12"/>
      <c r="I104" s="13"/>
      <c r="J104" s="3"/>
      <c r="K104" s="3"/>
      <c r="L104" s="3"/>
      <c r="M104" s="3"/>
      <c r="N104" s="3"/>
      <c r="O104" s="10"/>
      <c r="P104" s="3"/>
      <c r="Q104" s="3"/>
      <c r="R104" s="3"/>
      <c r="S104" s="4"/>
      <c r="U104" s="4"/>
      <c r="V104" s="6"/>
      <c r="W104" s="5"/>
      <c r="AA104" s="4"/>
      <c r="AB104" s="6"/>
      <c r="AC104" s="4"/>
    </row>
    <row r="105" spans="1:29" x14ac:dyDescent="0.2">
      <c r="A105" s="3"/>
      <c r="B105" s="13"/>
      <c r="C105" s="3"/>
      <c r="D105" s="3"/>
      <c r="E105" s="3"/>
      <c r="F105" s="3"/>
      <c r="G105" s="3"/>
      <c r="H105" s="5"/>
      <c r="I105" s="3"/>
      <c r="J105" s="3"/>
      <c r="K105" s="3"/>
      <c r="L105" s="3"/>
      <c r="M105" s="3"/>
      <c r="N105" s="3"/>
      <c r="O105" s="10"/>
      <c r="P105" s="3"/>
      <c r="Q105" s="3"/>
      <c r="R105" s="3"/>
      <c r="S105" s="4"/>
      <c r="U105" s="4"/>
      <c r="V105" s="6"/>
      <c r="W105" s="5"/>
      <c r="AA105" s="4"/>
      <c r="AB105" s="6"/>
      <c r="AC105" s="4"/>
    </row>
    <row r="106" spans="1:29" x14ac:dyDescent="0.2">
      <c r="A106" s="3"/>
      <c r="B106" s="13"/>
      <c r="C106" s="3"/>
      <c r="D106" s="3"/>
      <c r="E106" s="3"/>
      <c r="F106" s="3"/>
      <c r="G106" s="3"/>
      <c r="H106" s="5"/>
      <c r="I106" s="3"/>
      <c r="J106" s="3"/>
      <c r="K106" s="3"/>
      <c r="L106" s="3"/>
      <c r="M106" s="3"/>
      <c r="N106" s="3"/>
      <c r="O106" s="10"/>
      <c r="P106" s="3"/>
      <c r="Q106" s="3"/>
      <c r="R106" s="3"/>
      <c r="S106" s="4"/>
      <c r="U106" s="4"/>
      <c r="V106" s="6"/>
      <c r="W106" s="5"/>
      <c r="AA106" s="4"/>
      <c r="AB106" s="6"/>
      <c r="AC106" s="4"/>
    </row>
    <row r="107" spans="1:29" x14ac:dyDescent="0.2">
      <c r="A107" s="3"/>
      <c r="B107" s="13"/>
      <c r="C107" s="3"/>
      <c r="D107" s="3"/>
      <c r="E107" s="3"/>
      <c r="F107" s="3"/>
      <c r="G107" s="3"/>
      <c r="H107" s="5"/>
      <c r="I107" s="3"/>
      <c r="J107" s="3"/>
      <c r="K107" s="3"/>
      <c r="L107" s="3"/>
      <c r="M107" s="3"/>
      <c r="N107" s="3"/>
      <c r="O107" s="10"/>
      <c r="P107" s="3"/>
      <c r="Q107" s="3"/>
      <c r="R107" s="3"/>
      <c r="S107" s="4"/>
      <c r="U107" s="4"/>
      <c r="V107" s="6"/>
      <c r="W107" s="5"/>
      <c r="AA107" s="4"/>
      <c r="AB107" s="6"/>
      <c r="AC107" s="4"/>
    </row>
    <row r="108" spans="1:29" x14ac:dyDescent="0.2">
      <c r="A108" s="3"/>
      <c r="B108" s="13"/>
      <c r="C108" s="3"/>
      <c r="D108" s="3"/>
      <c r="E108" s="3"/>
      <c r="F108" s="3"/>
      <c r="G108" s="3"/>
      <c r="H108" s="5"/>
      <c r="I108" s="3"/>
      <c r="J108" s="3"/>
      <c r="K108" s="3"/>
      <c r="L108" s="3"/>
      <c r="M108" s="3"/>
      <c r="N108" s="3"/>
      <c r="O108" s="10"/>
      <c r="P108" s="3"/>
      <c r="Q108" s="3"/>
      <c r="R108" s="3"/>
      <c r="S108" s="4"/>
      <c r="U108" s="4"/>
      <c r="V108" s="6"/>
      <c r="W108" s="5"/>
      <c r="AA108" s="4"/>
      <c r="AB108" s="6"/>
      <c r="AC108" s="4"/>
    </row>
    <row r="109" spans="1:29" x14ac:dyDescent="0.2">
      <c r="A109" s="3"/>
      <c r="B109" s="13"/>
      <c r="C109" s="3"/>
      <c r="D109" s="3"/>
      <c r="E109" s="3"/>
      <c r="F109" s="3"/>
      <c r="G109" s="3"/>
      <c r="H109" s="5"/>
      <c r="I109" s="3"/>
      <c r="J109" s="3"/>
      <c r="K109" s="3"/>
      <c r="L109" s="3"/>
      <c r="M109" s="3"/>
      <c r="N109" s="3"/>
      <c r="O109" s="10"/>
      <c r="P109" s="3"/>
      <c r="Q109" s="3"/>
      <c r="R109" s="3"/>
      <c r="S109" s="4"/>
      <c r="U109" s="4"/>
      <c r="V109" s="6"/>
      <c r="W109" s="5"/>
      <c r="AA109" s="4"/>
      <c r="AB109" s="6"/>
      <c r="AC109" s="4"/>
    </row>
    <row r="110" spans="1:29" x14ac:dyDescent="0.2">
      <c r="A110" s="3"/>
      <c r="B110" s="13"/>
      <c r="C110" s="3"/>
      <c r="D110" s="3"/>
      <c r="E110" s="3"/>
      <c r="F110" s="3"/>
      <c r="G110" s="3"/>
      <c r="H110" s="5"/>
      <c r="I110" s="3"/>
      <c r="J110" s="3"/>
      <c r="K110" s="3"/>
      <c r="L110" s="3"/>
      <c r="M110" s="3"/>
      <c r="N110" s="3"/>
      <c r="O110" s="10"/>
      <c r="P110" s="3"/>
      <c r="Q110" s="3"/>
      <c r="R110" s="3"/>
      <c r="S110" s="4"/>
      <c r="U110" s="4"/>
      <c r="V110" s="6"/>
      <c r="W110" s="5"/>
      <c r="AA110" s="4"/>
      <c r="AB110" s="6"/>
      <c r="AC110" s="4"/>
    </row>
    <row r="111" spans="1:29" x14ac:dyDescent="0.2">
      <c r="A111" s="3"/>
      <c r="B111" s="13"/>
      <c r="C111" s="3"/>
      <c r="D111" s="3"/>
      <c r="E111" s="3"/>
      <c r="F111" s="3"/>
      <c r="G111" s="3"/>
      <c r="H111" s="5"/>
      <c r="I111" s="3"/>
      <c r="J111" s="3"/>
      <c r="K111" s="3"/>
      <c r="L111" s="3"/>
      <c r="M111" s="3"/>
      <c r="N111" s="3"/>
      <c r="O111" s="10"/>
      <c r="P111" s="3"/>
      <c r="Q111" s="3"/>
      <c r="R111" s="3"/>
      <c r="S111" s="4"/>
      <c r="U111" s="4"/>
      <c r="V111" s="6"/>
      <c r="W111" s="5"/>
      <c r="AA111" s="4"/>
      <c r="AB111" s="6"/>
      <c r="AC111" s="4"/>
    </row>
    <row r="112" spans="1:29" x14ac:dyDescent="0.2">
      <c r="A112" s="3"/>
      <c r="B112" s="13"/>
      <c r="C112" s="3"/>
      <c r="D112" s="3"/>
      <c r="E112" s="3"/>
      <c r="F112" s="3"/>
      <c r="G112" s="3"/>
      <c r="H112" s="5"/>
      <c r="I112" s="3"/>
      <c r="J112" s="3"/>
      <c r="K112" s="3"/>
      <c r="L112" s="3"/>
      <c r="M112" s="3"/>
      <c r="N112" s="3"/>
      <c r="O112" s="10"/>
      <c r="P112" s="3"/>
      <c r="Q112" s="3"/>
      <c r="R112" s="3"/>
      <c r="S112" s="4"/>
      <c r="U112" s="4"/>
      <c r="V112" s="6"/>
      <c r="W112" s="5"/>
      <c r="AA112" s="4"/>
      <c r="AB112" s="6"/>
      <c r="AC112" s="4"/>
    </row>
    <row r="113" spans="1:29" x14ac:dyDescent="0.2">
      <c r="A113" s="3"/>
      <c r="B113" s="13"/>
      <c r="C113" s="3"/>
      <c r="D113" s="3"/>
      <c r="E113" s="3"/>
      <c r="F113" s="3"/>
      <c r="G113" s="3"/>
      <c r="H113" s="5"/>
      <c r="I113" s="3"/>
      <c r="J113" s="3"/>
      <c r="K113" s="3"/>
      <c r="L113" s="3"/>
      <c r="M113" s="3"/>
      <c r="N113" s="3"/>
      <c r="O113" s="10"/>
      <c r="P113" s="3"/>
      <c r="Q113" s="3"/>
      <c r="R113" s="3"/>
      <c r="S113" s="4"/>
      <c r="U113" s="4"/>
      <c r="V113" s="6"/>
      <c r="W113" s="5"/>
      <c r="AA113" s="4"/>
      <c r="AB113" s="6"/>
      <c r="AC113" s="4"/>
    </row>
    <row r="114" spans="1:29" x14ac:dyDescent="0.2">
      <c r="A114" s="3"/>
      <c r="B114" s="13"/>
      <c r="C114" s="3"/>
      <c r="D114" s="3"/>
      <c r="E114" s="3"/>
      <c r="F114" s="3"/>
      <c r="G114" s="3"/>
      <c r="H114" s="5"/>
      <c r="I114" s="3"/>
      <c r="J114" s="3"/>
      <c r="K114" s="3"/>
      <c r="L114" s="3"/>
      <c r="M114" s="3"/>
      <c r="N114" s="3"/>
      <c r="O114" s="10"/>
      <c r="P114" s="3"/>
      <c r="Q114" s="3"/>
      <c r="R114" s="3"/>
      <c r="S114" s="4"/>
      <c r="U114" s="4"/>
      <c r="V114" s="6"/>
      <c r="W114" s="5"/>
      <c r="AA114" s="4"/>
      <c r="AB114" s="6"/>
      <c r="AC114" s="4"/>
    </row>
    <row r="115" spans="1:29" x14ac:dyDescent="0.2">
      <c r="A115" s="3"/>
      <c r="B115" s="13"/>
      <c r="C115" s="3"/>
      <c r="D115" s="3"/>
      <c r="E115" s="3"/>
      <c r="F115" s="3"/>
      <c r="G115" s="3"/>
      <c r="H115" s="5"/>
      <c r="I115" s="3"/>
      <c r="J115" s="3"/>
      <c r="K115" s="3"/>
      <c r="L115" s="3"/>
      <c r="M115" s="3"/>
      <c r="N115" s="3"/>
      <c r="O115" s="10"/>
      <c r="P115" s="3"/>
      <c r="Q115" s="3"/>
      <c r="R115" s="3"/>
      <c r="S115" s="4"/>
      <c r="U115" s="4"/>
      <c r="V115" s="6"/>
      <c r="W115" s="5"/>
      <c r="AA115" s="4"/>
      <c r="AB115" s="6"/>
      <c r="AC115" s="4"/>
    </row>
    <row r="116" spans="1:29" x14ac:dyDescent="0.2">
      <c r="A116" s="3"/>
      <c r="B116" s="13"/>
      <c r="C116" s="3"/>
      <c r="D116" s="3"/>
      <c r="E116" s="3"/>
      <c r="F116" s="3"/>
      <c r="G116" s="3"/>
      <c r="H116" s="5"/>
      <c r="I116" s="3"/>
      <c r="J116" s="3"/>
      <c r="K116" s="3"/>
      <c r="L116" s="3"/>
      <c r="M116" s="3"/>
      <c r="N116" s="3"/>
      <c r="O116" s="10"/>
      <c r="P116" s="3"/>
      <c r="Q116" s="3"/>
      <c r="R116" s="3"/>
      <c r="S116" s="4"/>
      <c r="U116" s="4"/>
      <c r="V116" s="6"/>
      <c r="W116" s="5"/>
      <c r="AA116" s="4"/>
      <c r="AB116" s="6"/>
      <c r="AC116" s="4"/>
    </row>
    <row r="117" spans="1:29" x14ac:dyDescent="0.2">
      <c r="A117" s="3"/>
      <c r="B117" s="13"/>
      <c r="C117" s="3"/>
      <c r="D117" s="3"/>
      <c r="E117" s="3"/>
      <c r="F117" s="3"/>
      <c r="G117" s="3"/>
      <c r="H117" s="5"/>
      <c r="I117" s="3"/>
      <c r="J117" s="3"/>
      <c r="K117" s="3"/>
      <c r="L117" s="3"/>
      <c r="M117" s="3"/>
      <c r="N117" s="3"/>
      <c r="O117" s="10"/>
      <c r="P117" s="3"/>
      <c r="Q117" s="3"/>
      <c r="R117" s="3"/>
      <c r="S117" s="4"/>
      <c r="U117" s="4"/>
      <c r="V117" s="6"/>
      <c r="W117" s="5"/>
      <c r="AA117" s="4"/>
      <c r="AB117" s="6"/>
      <c r="AC117" s="4"/>
    </row>
    <row r="118" spans="1:29" x14ac:dyDescent="0.2">
      <c r="A118" s="3"/>
      <c r="B118" s="13"/>
      <c r="C118" s="3"/>
      <c r="D118" s="3"/>
      <c r="E118" s="3"/>
      <c r="F118" s="3"/>
      <c r="G118" s="3"/>
      <c r="H118" s="5"/>
      <c r="I118" s="3"/>
      <c r="J118" s="3"/>
      <c r="K118" s="3"/>
      <c r="L118" s="3"/>
      <c r="M118" s="3"/>
      <c r="N118" s="3"/>
      <c r="O118" s="10"/>
      <c r="P118" s="3"/>
      <c r="Q118" s="3"/>
      <c r="R118" s="3"/>
      <c r="S118" s="4"/>
      <c r="U118" s="4"/>
      <c r="V118" s="6"/>
      <c r="W118" s="5"/>
      <c r="AA118" s="4"/>
      <c r="AB118" s="6"/>
      <c r="AC118" s="4"/>
    </row>
    <row r="119" spans="1:29" x14ac:dyDescent="0.2">
      <c r="A119" s="3"/>
      <c r="B119" s="13"/>
      <c r="C119" s="3"/>
      <c r="D119" s="3"/>
      <c r="E119" s="3"/>
      <c r="F119" s="3"/>
      <c r="G119" s="3"/>
      <c r="H119" s="5"/>
      <c r="I119" s="3"/>
      <c r="J119" s="3"/>
      <c r="K119" s="3"/>
      <c r="L119" s="3"/>
      <c r="M119" s="3"/>
      <c r="N119" s="3"/>
      <c r="O119" s="10"/>
      <c r="P119" s="3"/>
      <c r="Q119" s="3"/>
      <c r="R119" s="3"/>
      <c r="S119" s="4"/>
      <c r="U119" s="4"/>
      <c r="V119" s="6"/>
      <c r="W119" s="5"/>
      <c r="AA119" s="4"/>
      <c r="AB119" s="6"/>
      <c r="AC119" s="4"/>
    </row>
    <row r="120" spans="1:29" x14ac:dyDescent="0.2">
      <c r="A120" s="3"/>
      <c r="B120" s="13"/>
      <c r="C120" s="3"/>
      <c r="D120" s="3"/>
      <c r="E120" s="3"/>
      <c r="F120" s="3"/>
      <c r="G120" s="3"/>
      <c r="H120" s="5"/>
      <c r="I120" s="3"/>
      <c r="J120" s="3"/>
      <c r="K120" s="3"/>
      <c r="L120" s="3"/>
      <c r="M120" s="3"/>
      <c r="N120" s="3"/>
      <c r="O120" s="10"/>
      <c r="P120" s="3"/>
      <c r="Q120" s="3"/>
      <c r="R120" s="3"/>
      <c r="S120" s="4"/>
      <c r="U120" s="4"/>
      <c r="V120" s="6"/>
      <c r="W120" s="5"/>
      <c r="AA120" s="4"/>
      <c r="AB120" s="6"/>
      <c r="AC120" s="4"/>
    </row>
    <row r="121" spans="1:29" x14ac:dyDescent="0.2">
      <c r="A121" s="3"/>
      <c r="B121" s="13"/>
      <c r="C121" s="3"/>
      <c r="D121" s="3"/>
      <c r="E121" s="3"/>
      <c r="F121" s="3"/>
      <c r="G121" s="3"/>
      <c r="H121" s="5"/>
      <c r="I121" s="3"/>
      <c r="J121" s="3"/>
      <c r="K121" s="3"/>
      <c r="L121" s="3"/>
      <c r="M121" s="3"/>
      <c r="N121" s="3"/>
      <c r="O121" s="10"/>
      <c r="P121" s="3"/>
      <c r="Q121" s="3"/>
      <c r="R121" s="3"/>
      <c r="S121" s="4"/>
      <c r="U121" s="4"/>
      <c r="V121" s="6"/>
      <c r="W121" s="5"/>
      <c r="AA121" s="4"/>
      <c r="AB121" s="6"/>
      <c r="AC121" s="4"/>
    </row>
    <row r="122" spans="1:29" x14ac:dyDescent="0.2">
      <c r="A122" s="3"/>
      <c r="B122" s="13"/>
      <c r="C122" s="3"/>
      <c r="D122" s="3"/>
      <c r="E122" s="3"/>
      <c r="F122" s="3"/>
      <c r="G122" s="3"/>
      <c r="H122" s="5"/>
      <c r="I122" s="3"/>
      <c r="J122" s="3"/>
      <c r="K122" s="3"/>
      <c r="L122" s="3"/>
      <c r="M122" s="3"/>
      <c r="N122" s="3"/>
      <c r="O122" s="10"/>
      <c r="P122" s="3"/>
      <c r="Q122" s="3"/>
      <c r="R122" s="3"/>
      <c r="S122" s="4"/>
      <c r="U122" s="4"/>
      <c r="V122" s="6"/>
      <c r="W122" s="5"/>
      <c r="AA122" s="4"/>
      <c r="AB122" s="6"/>
      <c r="AC122" s="4"/>
    </row>
    <row r="123" spans="1:29" x14ac:dyDescent="0.2">
      <c r="A123" s="3"/>
      <c r="B123" s="13"/>
      <c r="C123" s="3"/>
      <c r="D123" s="3"/>
      <c r="E123" s="3"/>
      <c r="F123" s="3"/>
      <c r="G123" s="3"/>
      <c r="H123" s="5"/>
      <c r="I123" s="3"/>
      <c r="J123" s="3"/>
      <c r="K123" s="3"/>
      <c r="L123" s="3"/>
      <c r="M123" s="3"/>
      <c r="N123" s="3"/>
      <c r="O123" s="10"/>
      <c r="P123" s="3"/>
      <c r="Q123" s="3"/>
      <c r="R123" s="3"/>
      <c r="S123" s="4"/>
      <c r="U123" s="4"/>
      <c r="V123" s="6"/>
      <c r="W123" s="5"/>
      <c r="AA123" s="4"/>
      <c r="AB123" s="6"/>
      <c r="AC123" s="4"/>
    </row>
    <row r="124" spans="1:29" x14ac:dyDescent="0.2">
      <c r="A124" s="3"/>
      <c r="B124" s="13"/>
      <c r="C124" s="3"/>
      <c r="D124" s="3"/>
      <c r="E124" s="3"/>
      <c r="F124" s="3"/>
      <c r="G124" s="3"/>
      <c r="H124" s="5"/>
      <c r="I124" s="3"/>
      <c r="J124" s="3"/>
      <c r="K124" s="3"/>
      <c r="L124" s="3"/>
      <c r="M124" s="3"/>
      <c r="N124" s="3"/>
      <c r="O124" s="10"/>
      <c r="P124" s="3"/>
      <c r="Q124" s="3"/>
      <c r="R124" s="3"/>
      <c r="S124" s="4"/>
      <c r="U124" s="4"/>
      <c r="V124" s="6"/>
      <c r="W124" s="5"/>
      <c r="AA124" s="4"/>
      <c r="AB124" s="6"/>
      <c r="AC124" s="4"/>
    </row>
    <row r="125" spans="1:29" x14ac:dyDescent="0.2">
      <c r="A125" s="3"/>
      <c r="B125" s="13"/>
      <c r="C125" s="3"/>
      <c r="D125" s="3"/>
      <c r="E125" s="3"/>
      <c r="F125" s="3"/>
      <c r="G125" s="3"/>
      <c r="H125" s="5"/>
      <c r="I125" s="3"/>
      <c r="J125" s="3"/>
      <c r="K125" s="3"/>
      <c r="L125" s="3"/>
      <c r="M125" s="3"/>
      <c r="N125" s="3"/>
      <c r="O125" s="10"/>
      <c r="P125" s="3"/>
      <c r="Q125" s="3"/>
      <c r="R125" s="3"/>
      <c r="S125" s="4"/>
      <c r="U125" s="4"/>
      <c r="V125" s="6"/>
      <c r="W125" s="5"/>
      <c r="AA125" s="4"/>
      <c r="AB125" s="6"/>
      <c r="AC125" s="4"/>
    </row>
    <row r="126" spans="1:29" x14ac:dyDescent="0.2">
      <c r="A126" s="3"/>
      <c r="B126" s="13"/>
      <c r="C126" s="3"/>
      <c r="D126" s="3"/>
      <c r="E126" s="3"/>
      <c r="F126" s="3"/>
      <c r="G126" s="3"/>
      <c r="H126" s="5"/>
      <c r="I126" s="3"/>
      <c r="J126" s="3"/>
      <c r="K126" s="3"/>
      <c r="L126" s="3"/>
      <c r="M126" s="3"/>
      <c r="N126" s="3"/>
      <c r="O126" s="10"/>
      <c r="P126" s="3"/>
      <c r="Q126" s="3"/>
      <c r="R126" s="3"/>
      <c r="S126" s="4"/>
      <c r="U126" s="4"/>
      <c r="V126" s="6"/>
      <c r="W126" s="5"/>
      <c r="AA126" s="4"/>
      <c r="AB126" s="6"/>
      <c r="AC126" s="4"/>
    </row>
    <row r="127" spans="1:29" x14ac:dyDescent="0.2">
      <c r="A127" s="3"/>
      <c r="B127" s="13"/>
      <c r="C127" s="3"/>
      <c r="D127" s="3"/>
      <c r="E127" s="3"/>
      <c r="F127" s="3"/>
      <c r="G127" s="3"/>
      <c r="H127" s="5"/>
      <c r="I127" s="3"/>
      <c r="J127" s="3"/>
      <c r="K127" s="3"/>
      <c r="L127" s="3"/>
      <c r="M127" s="3"/>
      <c r="N127" s="3"/>
      <c r="O127" s="10"/>
      <c r="P127" s="3"/>
      <c r="Q127" s="3"/>
      <c r="R127" s="3"/>
      <c r="S127" s="4"/>
      <c r="U127" s="4"/>
      <c r="V127" s="6"/>
      <c r="W127" s="5"/>
      <c r="AA127" s="4"/>
      <c r="AB127" s="6"/>
      <c r="AC127" s="4"/>
    </row>
    <row r="128" spans="1:29" x14ac:dyDescent="0.2">
      <c r="A128" s="3"/>
      <c r="B128" s="13"/>
      <c r="C128" s="3"/>
      <c r="D128" s="3"/>
      <c r="E128" s="3"/>
      <c r="F128" s="3"/>
      <c r="G128" s="3"/>
      <c r="H128" s="5"/>
      <c r="I128" s="3"/>
      <c r="J128" s="3"/>
      <c r="K128" s="3"/>
      <c r="L128" s="3"/>
      <c r="M128" s="3"/>
      <c r="N128" s="3"/>
      <c r="O128" s="10"/>
      <c r="P128" s="3"/>
      <c r="Q128" s="3"/>
      <c r="R128" s="3"/>
      <c r="S128" s="4"/>
      <c r="U128" s="4"/>
      <c r="V128" s="6"/>
      <c r="W128" s="5"/>
      <c r="AA128" s="4"/>
      <c r="AB128" s="6"/>
      <c r="AC128" s="4"/>
    </row>
    <row r="129" spans="1:29" x14ac:dyDescent="0.2">
      <c r="A129" s="3"/>
      <c r="B129" s="13"/>
      <c r="C129" s="3"/>
      <c r="D129" s="3"/>
      <c r="E129" s="3"/>
      <c r="F129" s="3"/>
      <c r="G129" s="3"/>
      <c r="H129" s="5"/>
      <c r="I129" s="3"/>
      <c r="J129" s="3"/>
      <c r="K129" s="3"/>
      <c r="L129" s="3"/>
      <c r="M129" s="3"/>
      <c r="N129" s="3"/>
      <c r="O129" s="10"/>
      <c r="P129" s="3"/>
      <c r="Q129" s="3"/>
      <c r="R129" s="3"/>
      <c r="S129" s="4"/>
      <c r="U129" s="4"/>
      <c r="V129" s="6"/>
      <c r="W129" s="5"/>
      <c r="AA129" s="4"/>
      <c r="AB129" s="6"/>
      <c r="AC129" s="4"/>
    </row>
    <row r="130" spans="1:29" x14ac:dyDescent="0.2">
      <c r="A130" s="3"/>
      <c r="B130" s="13"/>
      <c r="C130" s="3"/>
      <c r="D130" s="3"/>
      <c r="E130" s="3"/>
      <c r="F130" s="3"/>
      <c r="G130" s="3"/>
      <c r="H130" s="5"/>
      <c r="I130" s="3"/>
      <c r="J130" s="3"/>
      <c r="K130" s="3"/>
      <c r="L130" s="3"/>
      <c r="M130" s="3"/>
      <c r="N130" s="3"/>
      <c r="O130" s="10"/>
      <c r="P130" s="3"/>
      <c r="Q130" s="3"/>
      <c r="R130" s="3"/>
      <c r="S130" s="4"/>
      <c r="U130" s="4"/>
      <c r="V130" s="6"/>
      <c r="W130" s="5"/>
      <c r="AA130" s="4"/>
      <c r="AB130" s="6"/>
      <c r="AC130" s="4"/>
    </row>
    <row r="131" spans="1:29" x14ac:dyDescent="0.2">
      <c r="A131" s="3"/>
      <c r="B131" s="13"/>
      <c r="C131" s="3"/>
      <c r="D131" s="3"/>
      <c r="E131" s="3"/>
      <c r="F131" s="3"/>
      <c r="G131" s="3"/>
      <c r="H131" s="5"/>
      <c r="I131" s="3"/>
      <c r="J131" s="3"/>
      <c r="K131" s="3"/>
      <c r="L131" s="3"/>
      <c r="M131" s="3"/>
      <c r="N131" s="3"/>
      <c r="O131" s="10"/>
      <c r="P131" s="3"/>
      <c r="Q131" s="3"/>
      <c r="R131" s="3"/>
      <c r="S131" s="4"/>
      <c r="U131" s="4"/>
      <c r="V131" s="6"/>
      <c r="W131" s="5"/>
      <c r="AA131" s="4"/>
      <c r="AB131" s="6"/>
      <c r="AC131" s="4"/>
    </row>
    <row r="132" spans="1:29" x14ac:dyDescent="0.2">
      <c r="A132" s="3"/>
      <c r="B132" s="13"/>
      <c r="C132" s="3"/>
      <c r="D132" s="3"/>
      <c r="E132" s="3"/>
      <c r="F132" s="3"/>
      <c r="G132" s="3"/>
      <c r="H132" s="5"/>
      <c r="I132" s="3"/>
      <c r="J132" s="3"/>
      <c r="K132" s="3"/>
      <c r="L132" s="3"/>
      <c r="M132" s="3"/>
      <c r="N132" s="3"/>
      <c r="O132" s="10"/>
      <c r="P132" s="3"/>
      <c r="Q132" s="3"/>
      <c r="R132" s="3"/>
      <c r="S132" s="4"/>
      <c r="U132" s="4"/>
      <c r="V132" s="6"/>
      <c r="W132" s="5"/>
      <c r="AA132" s="4"/>
      <c r="AB132" s="6"/>
      <c r="AC132" s="4"/>
    </row>
    <row r="133" spans="1:29" x14ac:dyDescent="0.2">
      <c r="A133" s="3"/>
      <c r="B133" s="13"/>
      <c r="C133" s="3"/>
      <c r="D133" s="3"/>
      <c r="E133" s="3"/>
      <c r="F133" s="3"/>
      <c r="G133" s="3"/>
      <c r="H133" s="5"/>
      <c r="I133" s="3"/>
      <c r="J133" s="3"/>
      <c r="K133" s="3"/>
      <c r="L133" s="3"/>
      <c r="M133" s="3"/>
      <c r="N133" s="3"/>
      <c r="O133" s="10"/>
      <c r="P133" s="3"/>
      <c r="Q133" s="3"/>
      <c r="R133" s="3"/>
      <c r="S133" s="4"/>
      <c r="U133" s="4"/>
      <c r="V133" s="6"/>
      <c r="W133" s="5"/>
      <c r="AA133" s="4"/>
      <c r="AB133" s="6"/>
      <c r="AC133" s="4"/>
    </row>
    <row r="134" spans="1:29" x14ac:dyDescent="0.2">
      <c r="A134" s="3"/>
      <c r="B134" s="13"/>
      <c r="C134" s="3"/>
      <c r="D134" s="3"/>
      <c r="E134" s="3"/>
      <c r="F134" s="3"/>
      <c r="G134" s="3"/>
      <c r="H134" s="5"/>
      <c r="I134" s="3"/>
      <c r="J134" s="3"/>
      <c r="K134" s="3"/>
      <c r="L134" s="3"/>
      <c r="M134" s="3"/>
      <c r="N134" s="3"/>
      <c r="O134" s="10"/>
      <c r="P134" s="3"/>
      <c r="Q134" s="3"/>
      <c r="R134" s="3"/>
      <c r="S134" s="4"/>
      <c r="U134" s="4"/>
      <c r="V134" s="6"/>
      <c r="W134" s="4"/>
      <c r="AA134" s="4"/>
      <c r="AB134" s="6"/>
      <c r="AC134" s="4"/>
    </row>
    <row r="135" spans="1:29" x14ac:dyDescent="0.2">
      <c r="A135" s="3"/>
      <c r="B135" s="13"/>
      <c r="C135" s="3"/>
      <c r="D135" s="3"/>
      <c r="E135" s="3"/>
      <c r="F135" s="3"/>
      <c r="G135" s="3"/>
      <c r="H135" s="5"/>
      <c r="I135" s="3"/>
      <c r="J135" s="3"/>
      <c r="K135" s="3"/>
      <c r="L135" s="3"/>
      <c r="M135" s="3"/>
      <c r="N135" s="3"/>
      <c r="O135" s="10"/>
      <c r="P135" s="3"/>
      <c r="Q135" s="3"/>
      <c r="R135" s="3"/>
      <c r="S135" s="4"/>
      <c r="U135" s="4"/>
      <c r="V135" s="6"/>
      <c r="W135" s="4"/>
      <c r="AA135" s="4"/>
      <c r="AB135" s="6"/>
      <c r="AC135" s="4"/>
    </row>
    <row r="136" spans="1:29" x14ac:dyDescent="0.2">
      <c r="A136" s="3"/>
      <c r="B136" s="13"/>
      <c r="C136" s="3"/>
      <c r="D136" s="3"/>
      <c r="E136" s="3"/>
      <c r="F136" s="3"/>
      <c r="G136" s="3"/>
      <c r="H136" s="5"/>
      <c r="I136" s="3"/>
      <c r="J136" s="3"/>
      <c r="K136" s="3"/>
      <c r="L136" s="3"/>
      <c r="M136" s="3"/>
      <c r="N136" s="3"/>
      <c r="O136" s="10"/>
      <c r="P136" s="3"/>
      <c r="Q136" s="3"/>
      <c r="R136" s="3"/>
      <c r="S136" s="4"/>
      <c r="U136" s="4"/>
      <c r="V136" s="6"/>
      <c r="W136" s="4"/>
      <c r="AA136" s="4"/>
      <c r="AB136" s="6"/>
      <c r="AC136" s="4"/>
    </row>
    <row r="137" spans="1:29" x14ac:dyDescent="0.2">
      <c r="A137" s="3"/>
      <c r="B137" s="13"/>
      <c r="C137" s="3"/>
      <c r="D137" s="3"/>
      <c r="E137" s="3"/>
      <c r="F137" s="3"/>
      <c r="G137" s="3"/>
      <c r="H137" s="5"/>
      <c r="I137" s="3"/>
      <c r="J137" s="3"/>
      <c r="K137" s="3"/>
      <c r="L137" s="3"/>
      <c r="M137" s="3"/>
      <c r="N137" s="3"/>
      <c r="O137" s="10"/>
      <c r="P137" s="3"/>
      <c r="Q137" s="3"/>
      <c r="R137" s="3"/>
      <c r="S137" s="4"/>
      <c r="U137" s="4"/>
      <c r="V137" s="6"/>
      <c r="W137" s="4"/>
      <c r="AA137" s="4"/>
      <c r="AB137" s="6"/>
      <c r="AC137" s="4"/>
    </row>
    <row r="138" spans="1:29" x14ac:dyDescent="0.2">
      <c r="A138" s="3"/>
      <c r="B138" s="13"/>
      <c r="C138" s="3"/>
      <c r="D138" s="3"/>
      <c r="E138" s="3"/>
      <c r="F138" s="3"/>
      <c r="G138" s="3"/>
      <c r="H138" s="5"/>
      <c r="I138" s="3"/>
      <c r="J138" s="3"/>
      <c r="K138" s="3"/>
      <c r="L138" s="3"/>
      <c r="M138" s="3"/>
      <c r="N138" s="3"/>
      <c r="O138" s="10"/>
      <c r="P138" s="3"/>
      <c r="Q138" s="3"/>
      <c r="R138" s="3"/>
      <c r="S138" s="4"/>
      <c r="U138" s="4"/>
      <c r="V138" s="6"/>
      <c r="W138" s="4"/>
      <c r="AA138" s="4"/>
      <c r="AB138" s="6"/>
      <c r="AC138" s="4"/>
    </row>
    <row r="139" spans="1:29" x14ac:dyDescent="0.2">
      <c r="A139" s="3"/>
      <c r="B139" s="13"/>
      <c r="C139" s="3"/>
      <c r="D139" s="3"/>
      <c r="E139" s="3"/>
      <c r="F139" s="3"/>
      <c r="G139" s="3"/>
      <c r="H139" s="5"/>
      <c r="I139" s="3"/>
      <c r="J139" s="3"/>
      <c r="K139" s="3"/>
      <c r="L139" s="3"/>
      <c r="M139" s="3"/>
      <c r="N139" s="3"/>
      <c r="O139" s="10"/>
      <c r="P139" s="3"/>
      <c r="Q139" s="3"/>
      <c r="R139" s="3"/>
      <c r="S139" s="4"/>
      <c r="U139" s="4"/>
      <c r="V139" s="6"/>
      <c r="W139" s="4"/>
      <c r="AA139" s="4"/>
      <c r="AB139" s="6"/>
      <c r="AC139" s="4"/>
    </row>
    <row r="140" spans="1:29" x14ac:dyDescent="0.2">
      <c r="A140" s="3"/>
      <c r="B140" s="13"/>
      <c r="C140" s="3"/>
      <c r="D140" s="3"/>
      <c r="E140" s="3"/>
      <c r="F140" s="3"/>
      <c r="G140" s="3"/>
      <c r="H140" s="5"/>
      <c r="I140" s="3"/>
      <c r="J140" s="3"/>
      <c r="K140" s="3"/>
      <c r="L140" s="3"/>
      <c r="M140" s="3"/>
      <c r="N140" s="3"/>
      <c r="O140" s="10"/>
      <c r="P140" s="3"/>
      <c r="Q140" s="3"/>
      <c r="R140" s="3"/>
      <c r="S140" s="4"/>
      <c r="U140" s="4"/>
      <c r="V140" s="6"/>
      <c r="W140" s="4"/>
      <c r="AA140" s="4"/>
      <c r="AB140" s="6"/>
      <c r="AC140" s="4"/>
    </row>
    <row r="141" spans="1:29" x14ac:dyDescent="0.2">
      <c r="A141" s="3"/>
      <c r="B141" s="13"/>
      <c r="C141" s="3"/>
      <c r="D141" s="3"/>
      <c r="E141" s="3"/>
      <c r="F141" s="3"/>
      <c r="G141" s="3"/>
      <c r="H141" s="5"/>
      <c r="I141" s="3"/>
      <c r="J141" s="3"/>
      <c r="K141" s="3"/>
      <c r="L141" s="3"/>
      <c r="M141" s="3"/>
      <c r="N141" s="3"/>
      <c r="O141" s="10"/>
      <c r="P141" s="3"/>
      <c r="Q141" s="3"/>
      <c r="R141" s="3"/>
      <c r="S141" s="4"/>
      <c r="U141" s="4"/>
      <c r="V141" s="6"/>
      <c r="W141" s="4"/>
      <c r="AA141" s="4"/>
      <c r="AB141" s="6"/>
      <c r="AC141" s="4"/>
    </row>
    <row r="142" spans="1:29" x14ac:dyDescent="0.2">
      <c r="A142" s="3"/>
      <c r="B142" s="13"/>
      <c r="C142" s="3"/>
      <c r="D142" s="3"/>
      <c r="E142" s="3"/>
      <c r="F142" s="3"/>
      <c r="G142" s="3"/>
      <c r="H142" s="5"/>
      <c r="I142" s="3"/>
      <c r="J142" s="3"/>
      <c r="K142" s="3"/>
      <c r="L142" s="3"/>
      <c r="M142" s="3"/>
      <c r="N142" s="3"/>
      <c r="O142" s="10"/>
      <c r="P142" s="3"/>
      <c r="Q142" s="3"/>
      <c r="R142" s="3"/>
      <c r="S142" s="4"/>
      <c r="U142" s="4"/>
      <c r="V142" s="6"/>
      <c r="W142" s="4"/>
      <c r="AA142" s="4"/>
      <c r="AB142" s="6"/>
      <c r="AC142" s="4"/>
    </row>
    <row r="143" spans="1:29" x14ac:dyDescent="0.2">
      <c r="A143" s="3"/>
      <c r="B143" s="13"/>
      <c r="C143" s="3"/>
      <c r="D143" s="3"/>
      <c r="E143" s="3"/>
      <c r="F143" s="3"/>
      <c r="G143" s="3"/>
      <c r="H143" s="5"/>
      <c r="I143" s="3"/>
      <c r="J143" s="3"/>
      <c r="K143" s="3"/>
      <c r="L143" s="3"/>
      <c r="M143" s="3"/>
      <c r="N143" s="3"/>
      <c r="O143" s="10"/>
      <c r="P143" s="3"/>
      <c r="Q143" s="3"/>
      <c r="R143" s="3"/>
      <c r="S143" s="4"/>
      <c r="U143" s="4"/>
      <c r="V143" s="6"/>
      <c r="W143" s="4"/>
      <c r="AA143" s="4"/>
      <c r="AB143" s="6"/>
      <c r="AC143" s="4"/>
    </row>
    <row r="144" spans="1:29" x14ac:dyDescent="0.2">
      <c r="A144" s="3"/>
      <c r="B144" s="13"/>
      <c r="C144" s="3"/>
      <c r="D144" s="3"/>
      <c r="E144" s="3"/>
      <c r="F144" s="3"/>
      <c r="G144" s="3"/>
      <c r="H144" s="5"/>
      <c r="I144" s="3"/>
      <c r="J144" s="3"/>
      <c r="K144" s="3"/>
      <c r="L144" s="3"/>
      <c r="M144" s="3"/>
      <c r="N144" s="3"/>
      <c r="O144" s="10"/>
      <c r="P144" s="3"/>
      <c r="Q144" s="3"/>
      <c r="R144" s="3"/>
      <c r="S144" s="4"/>
      <c r="U144" s="4"/>
      <c r="V144" s="6"/>
      <c r="W144" s="4"/>
      <c r="AA144" s="4"/>
      <c r="AB144" s="6"/>
      <c r="AC144" s="4"/>
    </row>
    <row r="145" spans="1:29" x14ac:dyDescent="0.2">
      <c r="A145" s="3"/>
      <c r="B145" s="13"/>
      <c r="C145" s="3"/>
      <c r="D145" s="3"/>
      <c r="E145" s="3"/>
      <c r="F145" s="3"/>
      <c r="G145" s="3"/>
      <c r="H145" s="5"/>
      <c r="I145" s="3"/>
      <c r="J145" s="3"/>
      <c r="K145" s="3"/>
      <c r="L145" s="3"/>
      <c r="M145" s="3"/>
      <c r="N145" s="3"/>
      <c r="O145" s="10"/>
      <c r="P145" s="3"/>
      <c r="Q145" s="3"/>
      <c r="R145" s="3"/>
      <c r="S145" s="4"/>
      <c r="U145" s="4"/>
      <c r="V145" s="6"/>
      <c r="W145" s="4"/>
      <c r="AA145" s="4"/>
      <c r="AB145" s="6"/>
      <c r="AC145" s="4"/>
    </row>
    <row r="146" spans="1:29" x14ac:dyDescent="0.2">
      <c r="A146" s="3"/>
      <c r="B146" s="13"/>
      <c r="C146" s="3"/>
      <c r="D146" s="3"/>
      <c r="E146" s="3"/>
      <c r="F146" s="3"/>
      <c r="G146" s="3"/>
      <c r="H146" s="5"/>
      <c r="I146" s="3"/>
      <c r="J146" s="3"/>
      <c r="K146" s="3"/>
      <c r="L146" s="3"/>
      <c r="M146" s="3"/>
      <c r="N146" s="3"/>
      <c r="O146" s="10"/>
      <c r="P146" s="3"/>
      <c r="Q146" s="3"/>
      <c r="R146" s="3"/>
      <c r="S146" s="4"/>
      <c r="U146" s="4"/>
      <c r="V146" s="6"/>
      <c r="W146" s="4"/>
      <c r="AA146" s="4"/>
      <c r="AB146" s="6"/>
      <c r="AC146" s="4"/>
    </row>
    <row r="147" spans="1:29" x14ac:dyDescent="0.2">
      <c r="A147" s="3"/>
      <c r="B147" s="13"/>
      <c r="C147" s="3"/>
      <c r="D147" s="3"/>
      <c r="E147" s="3"/>
      <c r="F147" s="3"/>
      <c r="G147" s="3"/>
      <c r="H147" s="5"/>
      <c r="I147" s="3"/>
      <c r="J147" s="3"/>
      <c r="K147" s="3"/>
      <c r="L147" s="3"/>
      <c r="M147" s="3"/>
      <c r="N147" s="3"/>
      <c r="O147" s="10"/>
      <c r="P147" s="3"/>
      <c r="Q147" s="3"/>
      <c r="R147" s="3"/>
      <c r="S147" s="4"/>
      <c r="U147" s="4"/>
      <c r="V147" s="6"/>
      <c r="W147" s="4"/>
      <c r="AA147" s="4"/>
      <c r="AB147" s="6"/>
      <c r="AC147" s="4"/>
    </row>
    <row r="148" spans="1:29" x14ac:dyDescent="0.2">
      <c r="A148" s="3"/>
      <c r="B148" s="13"/>
      <c r="C148" s="3"/>
      <c r="D148" s="3"/>
      <c r="E148" s="3"/>
      <c r="F148" s="3"/>
      <c r="G148" s="3"/>
      <c r="H148" s="5"/>
      <c r="I148" s="3"/>
      <c r="J148" s="3"/>
      <c r="K148" s="3"/>
      <c r="L148" s="3"/>
      <c r="M148" s="3"/>
      <c r="N148" s="3"/>
      <c r="O148" s="10"/>
      <c r="P148" s="3"/>
      <c r="Q148" s="3"/>
      <c r="R148" s="3"/>
      <c r="S148" s="4"/>
      <c r="U148" s="4"/>
      <c r="V148" s="6"/>
      <c r="W148" s="4"/>
      <c r="AA148" s="4"/>
      <c r="AB148" s="6"/>
      <c r="AC148" s="4"/>
    </row>
    <row r="149" spans="1:29" x14ac:dyDescent="0.2">
      <c r="A149" s="3"/>
      <c r="B149" s="13"/>
      <c r="C149" s="3"/>
      <c r="D149" s="3"/>
      <c r="E149" s="3"/>
      <c r="F149" s="3"/>
      <c r="G149" s="3"/>
      <c r="H149" s="5"/>
      <c r="I149" s="3"/>
      <c r="J149" s="3"/>
      <c r="K149" s="3"/>
      <c r="L149" s="3"/>
      <c r="M149" s="3"/>
      <c r="N149" s="3"/>
      <c r="O149" s="10"/>
      <c r="P149" s="3"/>
      <c r="Q149" s="3"/>
      <c r="R149" s="3"/>
      <c r="S149" s="4"/>
      <c r="U149" s="4"/>
      <c r="V149" s="6"/>
      <c r="W149" s="4"/>
      <c r="AA149" s="4"/>
      <c r="AB149" s="6"/>
      <c r="AC149" s="4"/>
    </row>
    <row r="150" spans="1:29" x14ac:dyDescent="0.2">
      <c r="A150" s="3"/>
      <c r="B150" s="13"/>
      <c r="C150" s="3"/>
      <c r="D150" s="3"/>
      <c r="E150" s="3"/>
      <c r="F150" s="3"/>
      <c r="G150" s="3"/>
      <c r="H150" s="5"/>
      <c r="I150" s="3"/>
      <c r="J150" s="3"/>
      <c r="K150" s="3"/>
      <c r="L150" s="3"/>
      <c r="M150" s="3"/>
      <c r="N150" s="3"/>
      <c r="O150" s="10"/>
      <c r="P150" s="3"/>
      <c r="Q150" s="3"/>
      <c r="R150" s="3"/>
      <c r="S150" s="4"/>
      <c r="U150" s="4"/>
      <c r="V150" s="6"/>
      <c r="W150" s="4"/>
      <c r="AA150" s="4"/>
      <c r="AB150" s="6"/>
      <c r="AC150" s="4"/>
    </row>
    <row r="151" spans="1:29" x14ac:dyDescent="0.2">
      <c r="A151" s="3"/>
      <c r="B151" s="13"/>
      <c r="C151" s="3"/>
      <c r="D151" s="3"/>
      <c r="E151" s="3"/>
      <c r="F151" s="3"/>
      <c r="G151" s="3"/>
      <c r="H151" s="5"/>
      <c r="I151" s="3"/>
      <c r="J151" s="3"/>
      <c r="K151" s="3"/>
      <c r="L151" s="3"/>
      <c r="M151" s="3"/>
      <c r="N151" s="3"/>
      <c r="O151" s="10"/>
      <c r="P151" s="3"/>
      <c r="Q151" s="3"/>
      <c r="R151" s="3"/>
      <c r="S151" s="4"/>
      <c r="U151" s="4"/>
      <c r="V151" s="6"/>
      <c r="W151" s="4"/>
      <c r="AA151" s="4"/>
      <c r="AB151" s="6"/>
      <c r="AC151" s="4"/>
    </row>
    <row r="152" spans="1:29" x14ac:dyDescent="0.2">
      <c r="A152" s="3"/>
      <c r="B152" s="13"/>
      <c r="C152" s="3"/>
      <c r="D152" s="3"/>
      <c r="E152" s="3"/>
      <c r="F152" s="3"/>
      <c r="G152" s="3"/>
      <c r="H152" s="5"/>
      <c r="I152" s="3"/>
      <c r="J152" s="3"/>
      <c r="K152" s="3"/>
      <c r="L152" s="3"/>
      <c r="M152" s="3"/>
      <c r="N152" s="3"/>
      <c r="O152" s="10"/>
      <c r="P152" s="3"/>
      <c r="Q152" s="3"/>
      <c r="R152" s="3"/>
      <c r="S152" s="4"/>
      <c r="U152" s="4"/>
      <c r="V152" s="6"/>
      <c r="W152" s="4"/>
      <c r="AA152" s="4"/>
      <c r="AB152" s="6"/>
      <c r="AC152" s="4"/>
    </row>
    <row r="153" spans="1:29" x14ac:dyDescent="0.2">
      <c r="A153" s="3"/>
      <c r="B153" s="13"/>
      <c r="C153" s="3"/>
      <c r="D153" s="3"/>
      <c r="E153" s="3"/>
      <c r="F153" s="3"/>
      <c r="G153" s="3"/>
      <c r="H153" s="5"/>
      <c r="I153" s="3"/>
      <c r="J153" s="3"/>
      <c r="K153" s="3"/>
      <c r="L153" s="3"/>
      <c r="M153" s="3"/>
      <c r="N153" s="3"/>
      <c r="O153" s="10"/>
      <c r="P153" s="3"/>
      <c r="Q153" s="3"/>
      <c r="R153" s="3"/>
      <c r="S153" s="4"/>
      <c r="U153" s="4"/>
      <c r="V153" s="6"/>
      <c r="W153" s="4"/>
      <c r="AA153" s="4"/>
      <c r="AB153" s="6"/>
      <c r="AC153" s="4"/>
    </row>
    <row r="154" spans="1:29" x14ac:dyDescent="0.2">
      <c r="A154" s="3"/>
      <c r="B154" s="13"/>
      <c r="C154" s="3"/>
      <c r="D154" s="3"/>
      <c r="E154" s="3"/>
      <c r="F154" s="3"/>
      <c r="G154" s="3"/>
      <c r="H154" s="5"/>
      <c r="I154" s="3"/>
      <c r="J154" s="3"/>
      <c r="K154" s="3"/>
      <c r="L154" s="3"/>
      <c r="M154" s="3"/>
      <c r="N154" s="3"/>
      <c r="O154" s="10"/>
      <c r="P154" s="3"/>
      <c r="Q154" s="3"/>
      <c r="R154" s="3"/>
      <c r="S154" s="4"/>
      <c r="U154" s="4"/>
      <c r="V154" s="6"/>
      <c r="W154" s="4"/>
      <c r="AA154" s="4"/>
      <c r="AB154" s="6"/>
      <c r="AC154" s="4"/>
    </row>
    <row r="155" spans="1:29" x14ac:dyDescent="0.2">
      <c r="A155" s="3"/>
      <c r="B155" s="13"/>
      <c r="C155" s="3"/>
      <c r="D155" s="3"/>
      <c r="E155" s="3"/>
      <c r="F155" s="3"/>
      <c r="G155" s="3"/>
      <c r="H155" s="5"/>
      <c r="I155" s="3"/>
      <c r="J155" s="3"/>
      <c r="K155" s="3"/>
      <c r="L155" s="3"/>
      <c r="M155" s="3"/>
      <c r="N155" s="3"/>
      <c r="O155" s="10"/>
      <c r="P155" s="3"/>
      <c r="Q155" s="3"/>
      <c r="R155" s="3"/>
      <c r="S155" s="4"/>
      <c r="U155" s="4"/>
      <c r="V155" s="6"/>
      <c r="W155" s="4"/>
      <c r="AA155" s="4"/>
      <c r="AB155" s="6"/>
      <c r="AC155" s="4"/>
    </row>
    <row r="156" spans="1:29" x14ac:dyDescent="0.2">
      <c r="A156" s="3"/>
      <c r="B156" s="13"/>
      <c r="C156" s="3"/>
      <c r="D156" s="3"/>
      <c r="E156" s="3"/>
      <c r="F156" s="3"/>
      <c r="G156" s="3"/>
      <c r="H156" s="5"/>
      <c r="I156" s="3"/>
      <c r="J156" s="3"/>
      <c r="K156" s="3"/>
      <c r="L156" s="3"/>
      <c r="M156" s="3"/>
      <c r="N156" s="3"/>
      <c r="O156" s="10"/>
      <c r="P156" s="3"/>
      <c r="Q156" s="3"/>
      <c r="R156" s="3"/>
      <c r="S156" s="4"/>
      <c r="U156" s="4"/>
      <c r="V156" s="6"/>
      <c r="W156" s="4"/>
      <c r="AA156" s="4"/>
      <c r="AB156" s="6"/>
      <c r="AC156" s="4"/>
    </row>
    <row r="157" spans="1:29" x14ac:dyDescent="0.2">
      <c r="A157" s="3"/>
      <c r="B157" s="13"/>
      <c r="C157" s="3"/>
      <c r="D157" s="3"/>
      <c r="E157" s="3"/>
      <c r="F157" s="3"/>
      <c r="G157" s="3"/>
      <c r="H157" s="5"/>
      <c r="I157" s="3"/>
      <c r="J157" s="3"/>
      <c r="K157" s="3"/>
      <c r="L157" s="3"/>
      <c r="M157" s="3"/>
      <c r="N157" s="3"/>
      <c r="O157" s="10"/>
      <c r="P157" s="3"/>
      <c r="Q157" s="3"/>
      <c r="R157" s="3"/>
      <c r="S157" s="4"/>
      <c r="U157" s="4"/>
      <c r="V157" s="6"/>
      <c r="W157" s="4"/>
      <c r="AA157" s="4"/>
      <c r="AB157" s="6"/>
      <c r="AC157" s="4"/>
    </row>
    <row r="158" spans="1:29" x14ac:dyDescent="0.2">
      <c r="A158" s="3"/>
      <c r="B158" s="13"/>
      <c r="C158" s="3"/>
      <c r="D158" s="3"/>
      <c r="E158" s="3"/>
      <c r="F158" s="3"/>
      <c r="G158" s="3"/>
      <c r="H158" s="5"/>
      <c r="I158" s="3"/>
      <c r="J158" s="3"/>
      <c r="K158" s="3"/>
      <c r="L158" s="3"/>
      <c r="M158" s="3"/>
      <c r="N158" s="3"/>
      <c r="O158" s="10"/>
      <c r="P158" s="3"/>
      <c r="Q158" s="3"/>
      <c r="R158" s="3"/>
      <c r="S158" s="4"/>
      <c r="U158" s="4"/>
      <c r="V158" s="6"/>
      <c r="W158" s="4"/>
      <c r="AA158" s="4"/>
      <c r="AB158" s="6"/>
      <c r="AC158" s="4"/>
    </row>
    <row r="159" spans="1:29" x14ac:dyDescent="0.2">
      <c r="A159" s="3"/>
      <c r="B159" s="13"/>
      <c r="C159" s="3"/>
      <c r="D159" s="3"/>
      <c r="E159" s="3"/>
      <c r="F159" s="3"/>
      <c r="G159" s="3"/>
      <c r="H159" s="5"/>
      <c r="I159" s="3"/>
      <c r="J159" s="3"/>
      <c r="K159" s="3"/>
      <c r="L159" s="3"/>
      <c r="M159" s="3"/>
      <c r="N159" s="3"/>
      <c r="O159" s="10"/>
      <c r="P159" s="3"/>
      <c r="Q159" s="3"/>
      <c r="R159" s="3"/>
      <c r="S159" s="4"/>
      <c r="U159" s="4"/>
      <c r="V159" s="6"/>
      <c r="W159" s="4"/>
      <c r="AA159" s="4"/>
      <c r="AB159" s="6"/>
      <c r="AC159" s="4"/>
    </row>
    <row r="160" spans="1:29" x14ac:dyDescent="0.2">
      <c r="A160" s="3"/>
      <c r="B160" s="13"/>
      <c r="C160" s="3"/>
      <c r="D160" s="3"/>
      <c r="E160" s="3"/>
      <c r="F160" s="3"/>
      <c r="G160" s="3"/>
      <c r="H160" s="5"/>
      <c r="I160" s="3"/>
      <c r="J160" s="3"/>
      <c r="K160" s="3"/>
      <c r="L160" s="3"/>
      <c r="M160" s="3"/>
      <c r="N160" s="3"/>
      <c r="O160" s="10"/>
      <c r="P160" s="3"/>
      <c r="Q160" s="3"/>
      <c r="R160" s="3"/>
      <c r="S160" s="4"/>
      <c r="U160" s="4"/>
      <c r="V160" s="6"/>
      <c r="W160" s="4"/>
      <c r="AA160" s="4"/>
      <c r="AB160" s="6"/>
      <c r="AC160" s="4"/>
    </row>
    <row r="161" spans="1:29" x14ac:dyDescent="0.2">
      <c r="A161" s="3"/>
      <c r="B161" s="13"/>
      <c r="C161" s="3"/>
      <c r="D161" s="3"/>
      <c r="E161" s="3"/>
      <c r="F161" s="3"/>
      <c r="G161" s="3"/>
      <c r="H161" s="5"/>
      <c r="I161" s="3"/>
      <c r="J161" s="3"/>
      <c r="K161" s="3"/>
      <c r="L161" s="3"/>
      <c r="M161" s="3"/>
      <c r="N161" s="3"/>
      <c r="O161" s="10"/>
      <c r="P161" s="3"/>
      <c r="Q161" s="3"/>
      <c r="R161" s="3"/>
      <c r="S161" s="4"/>
      <c r="U161" s="4"/>
      <c r="V161" s="6"/>
      <c r="W161" s="4"/>
      <c r="AA161" s="4"/>
      <c r="AB161" s="6"/>
      <c r="AC161" s="4"/>
    </row>
    <row r="162" spans="1:29" x14ac:dyDescent="0.2">
      <c r="A162" s="3"/>
      <c r="B162" s="13"/>
      <c r="C162" s="3"/>
      <c r="D162" s="3"/>
      <c r="E162" s="3"/>
      <c r="F162" s="3"/>
      <c r="G162" s="3"/>
      <c r="H162" s="5"/>
      <c r="I162" s="3"/>
      <c r="J162" s="3"/>
      <c r="K162" s="3"/>
      <c r="L162" s="3"/>
      <c r="M162" s="3"/>
      <c r="N162" s="3"/>
      <c r="O162" s="10"/>
      <c r="P162" s="3"/>
      <c r="Q162" s="3"/>
      <c r="R162" s="3"/>
      <c r="S162" s="4"/>
      <c r="U162" s="4"/>
      <c r="V162" s="6"/>
      <c r="W162" s="4"/>
      <c r="AA162" s="4"/>
      <c r="AB162" s="6"/>
      <c r="AC162" s="4"/>
    </row>
    <row r="163" spans="1:29" x14ac:dyDescent="0.2">
      <c r="A163" s="3"/>
      <c r="B163" s="13"/>
      <c r="C163" s="3"/>
      <c r="D163" s="3"/>
      <c r="E163" s="3"/>
      <c r="F163" s="3"/>
      <c r="G163" s="3"/>
      <c r="H163" s="5"/>
      <c r="I163" s="3"/>
      <c r="J163" s="3"/>
      <c r="K163" s="3"/>
      <c r="L163" s="3"/>
      <c r="M163" s="3"/>
      <c r="N163" s="3"/>
      <c r="O163" s="10"/>
      <c r="P163" s="3"/>
      <c r="Q163" s="3"/>
      <c r="R163" s="3"/>
      <c r="S163" s="4"/>
      <c r="U163" s="4"/>
      <c r="V163" s="6"/>
      <c r="W163" s="4"/>
      <c r="AA163" s="4"/>
      <c r="AB163" s="6"/>
      <c r="AC163" s="4"/>
    </row>
    <row r="164" spans="1:29" x14ac:dyDescent="0.2">
      <c r="A164" s="3"/>
      <c r="B164" s="13"/>
      <c r="C164" s="3"/>
      <c r="D164" s="3"/>
      <c r="E164" s="3"/>
      <c r="F164" s="3"/>
      <c r="G164" s="3"/>
      <c r="H164" s="5"/>
      <c r="I164" s="3"/>
      <c r="J164" s="3"/>
      <c r="K164" s="3"/>
      <c r="L164" s="3"/>
      <c r="M164" s="3"/>
      <c r="N164" s="3"/>
      <c r="O164" s="10"/>
      <c r="P164" s="3"/>
      <c r="Q164" s="3"/>
      <c r="R164" s="3"/>
      <c r="S164" s="4"/>
      <c r="U164" s="4"/>
      <c r="V164" s="6"/>
      <c r="W164" s="4"/>
      <c r="AA164" s="4"/>
      <c r="AB164" s="6"/>
      <c r="AC164" s="4"/>
    </row>
    <row r="165" spans="1:29" x14ac:dyDescent="0.2">
      <c r="A165" s="3"/>
      <c r="B165" s="13"/>
      <c r="C165" s="3"/>
      <c r="D165" s="3"/>
      <c r="E165" s="3"/>
      <c r="F165" s="3"/>
      <c r="G165" s="3"/>
      <c r="H165" s="5"/>
      <c r="I165" s="3"/>
      <c r="J165" s="3"/>
      <c r="K165" s="3"/>
      <c r="L165" s="3"/>
      <c r="M165" s="3"/>
      <c r="N165" s="3"/>
      <c r="O165" s="10"/>
      <c r="P165" s="3"/>
      <c r="Q165" s="3"/>
      <c r="R165" s="3"/>
      <c r="S165" s="4"/>
      <c r="U165" s="4"/>
      <c r="V165" s="6"/>
      <c r="W165" s="4"/>
      <c r="AA165" s="4"/>
      <c r="AB165" s="6"/>
      <c r="AC165" s="4"/>
    </row>
    <row r="166" spans="1:29" x14ac:dyDescent="0.2">
      <c r="A166" s="3"/>
      <c r="B166" s="13"/>
      <c r="C166" s="3"/>
      <c r="D166" s="3"/>
      <c r="E166" s="3"/>
      <c r="F166" s="3"/>
      <c r="G166" s="3"/>
      <c r="H166" s="5"/>
      <c r="I166" s="3"/>
      <c r="J166" s="3"/>
      <c r="K166" s="3"/>
      <c r="L166" s="3"/>
      <c r="M166" s="3"/>
      <c r="N166" s="3"/>
      <c r="O166" s="10"/>
      <c r="P166" s="3"/>
      <c r="Q166" s="3"/>
      <c r="R166" s="3"/>
      <c r="S166" s="4"/>
      <c r="U166" s="4"/>
      <c r="V166" s="6"/>
      <c r="W166" s="4"/>
      <c r="AA166" s="4"/>
      <c r="AB166" s="6"/>
      <c r="AC166" s="4"/>
    </row>
    <row r="167" spans="1:29" x14ac:dyDescent="0.2">
      <c r="A167" s="3"/>
      <c r="B167" s="13"/>
      <c r="C167" s="3"/>
      <c r="D167" s="3"/>
      <c r="E167" s="3"/>
      <c r="F167" s="3"/>
      <c r="G167" s="3"/>
      <c r="H167" s="5"/>
      <c r="I167" s="3"/>
      <c r="J167" s="3"/>
      <c r="K167" s="3"/>
      <c r="L167" s="3"/>
      <c r="M167" s="3"/>
      <c r="N167" s="3"/>
      <c r="O167" s="10"/>
      <c r="P167" s="3"/>
      <c r="Q167" s="3"/>
      <c r="R167" s="3"/>
      <c r="S167" s="4"/>
      <c r="U167" s="4"/>
      <c r="V167" s="6"/>
      <c r="W167" s="4"/>
      <c r="AA167" s="4"/>
      <c r="AB167" s="6"/>
      <c r="AC167" s="4"/>
    </row>
    <row r="168" spans="1:29" x14ac:dyDescent="0.2">
      <c r="A168" s="3"/>
      <c r="B168" s="13"/>
      <c r="C168" s="3"/>
      <c r="D168" s="3"/>
      <c r="E168" s="3"/>
      <c r="F168" s="3"/>
      <c r="G168" s="3"/>
      <c r="H168" s="5"/>
      <c r="I168" s="3"/>
      <c r="J168" s="3"/>
      <c r="K168" s="3"/>
      <c r="L168" s="3"/>
      <c r="M168" s="3"/>
      <c r="N168" s="3"/>
      <c r="O168" s="10"/>
      <c r="P168" s="3"/>
      <c r="Q168" s="3"/>
      <c r="R168" s="3"/>
      <c r="S168" s="4"/>
      <c r="U168" s="4"/>
      <c r="V168" s="6"/>
      <c r="W168" s="4"/>
      <c r="AA168" s="4"/>
      <c r="AB168" s="6"/>
      <c r="AC168" s="4"/>
    </row>
    <row r="169" spans="1:29" x14ac:dyDescent="0.2">
      <c r="A169" s="3"/>
      <c r="B169" s="13"/>
      <c r="C169" s="3"/>
      <c r="D169" s="3"/>
      <c r="E169" s="3"/>
      <c r="F169" s="3"/>
      <c r="G169" s="3"/>
      <c r="H169" s="5"/>
      <c r="I169" s="3"/>
      <c r="J169" s="3"/>
      <c r="K169" s="3"/>
      <c r="L169" s="3"/>
      <c r="M169" s="3"/>
      <c r="N169" s="3"/>
      <c r="O169" s="10"/>
      <c r="P169" s="3"/>
      <c r="Q169" s="3"/>
      <c r="R169" s="3"/>
      <c r="S169" s="4"/>
      <c r="U169" s="4"/>
      <c r="V169" s="6"/>
      <c r="W169" s="4"/>
      <c r="AA169" s="4"/>
      <c r="AB169" s="6"/>
      <c r="AC169" s="4"/>
    </row>
    <row r="170" spans="1:29" x14ac:dyDescent="0.2">
      <c r="A170" s="3"/>
      <c r="B170" s="13"/>
      <c r="C170" s="3"/>
      <c r="D170" s="3"/>
      <c r="E170" s="3"/>
      <c r="F170" s="3"/>
      <c r="G170" s="3"/>
      <c r="H170" s="5"/>
      <c r="I170" s="3"/>
      <c r="J170" s="3"/>
      <c r="K170" s="3"/>
      <c r="L170" s="3"/>
      <c r="M170" s="3"/>
      <c r="N170" s="3"/>
      <c r="O170" s="10"/>
      <c r="P170" s="3"/>
      <c r="Q170" s="3"/>
      <c r="R170" s="3"/>
      <c r="S170" s="4"/>
      <c r="U170" s="4"/>
      <c r="V170" s="6"/>
      <c r="W170" s="4"/>
      <c r="AA170" s="4"/>
      <c r="AB170" s="6"/>
      <c r="AC170" s="4"/>
    </row>
    <row r="171" spans="1:29" x14ac:dyDescent="0.2">
      <c r="A171" s="3"/>
      <c r="B171" s="13"/>
      <c r="C171" s="3"/>
      <c r="D171" s="3"/>
      <c r="E171" s="3"/>
      <c r="F171" s="3"/>
      <c r="G171" s="3"/>
      <c r="H171" s="5"/>
      <c r="I171" s="3"/>
      <c r="J171" s="3"/>
      <c r="K171" s="3"/>
      <c r="L171" s="3"/>
      <c r="M171" s="3"/>
      <c r="N171" s="3"/>
      <c r="O171" s="10"/>
      <c r="P171" s="3"/>
      <c r="Q171" s="3"/>
      <c r="R171" s="3"/>
      <c r="S171" s="4"/>
      <c r="U171" s="4"/>
      <c r="V171" s="6"/>
      <c r="W171" s="4"/>
      <c r="AA171" s="4"/>
      <c r="AB171" s="6"/>
      <c r="AC171" s="4"/>
    </row>
    <row r="172" spans="1:29" x14ac:dyDescent="0.2">
      <c r="A172" s="3"/>
      <c r="B172" s="13"/>
      <c r="C172" s="3"/>
      <c r="D172" s="3"/>
      <c r="E172" s="3"/>
      <c r="F172" s="3"/>
      <c r="G172" s="3"/>
      <c r="H172" s="5"/>
      <c r="I172" s="3"/>
      <c r="J172" s="3"/>
      <c r="K172" s="3"/>
      <c r="L172" s="3"/>
      <c r="M172" s="3"/>
      <c r="N172" s="3"/>
      <c r="O172" s="10"/>
      <c r="P172" s="3"/>
      <c r="Q172" s="3"/>
      <c r="R172" s="3"/>
      <c r="S172" s="4"/>
      <c r="U172" s="4"/>
      <c r="V172" s="6"/>
      <c r="W172" s="4"/>
      <c r="AA172" s="4"/>
      <c r="AB172" s="6"/>
      <c r="AC172" s="4"/>
    </row>
    <row r="173" spans="1:29" x14ac:dyDescent="0.2">
      <c r="A173" s="3"/>
      <c r="B173" s="13"/>
      <c r="C173" s="3"/>
      <c r="D173" s="3"/>
      <c r="E173" s="3"/>
      <c r="F173" s="3"/>
      <c r="G173" s="3"/>
      <c r="H173" s="5"/>
      <c r="I173" s="3"/>
      <c r="J173" s="3"/>
      <c r="K173" s="3"/>
      <c r="L173" s="3"/>
      <c r="M173" s="3"/>
      <c r="N173" s="3"/>
      <c r="O173" s="10"/>
      <c r="P173" s="3"/>
      <c r="Q173" s="3"/>
      <c r="R173" s="3"/>
      <c r="S173" s="4"/>
      <c r="U173" s="4"/>
      <c r="V173" s="6"/>
      <c r="W173" s="4"/>
      <c r="AA173" s="4"/>
      <c r="AB173" s="6"/>
      <c r="AC173" s="4"/>
    </row>
    <row r="174" spans="1:29" x14ac:dyDescent="0.2">
      <c r="A174" s="3"/>
      <c r="B174" s="13"/>
      <c r="C174" s="3"/>
      <c r="D174" s="3"/>
      <c r="E174" s="3"/>
      <c r="F174" s="3"/>
      <c r="G174" s="3"/>
      <c r="H174" s="3"/>
      <c r="I174" s="3"/>
      <c r="J174" s="3"/>
      <c r="K174" s="3"/>
      <c r="L174" s="3"/>
      <c r="M174" s="3"/>
      <c r="N174" s="3"/>
      <c r="O174" s="10"/>
      <c r="P174" s="3"/>
      <c r="Q174" s="3"/>
      <c r="R174" s="3"/>
      <c r="S174" s="4"/>
      <c r="U174" s="4"/>
      <c r="V174" s="6"/>
      <c r="W174" s="4"/>
      <c r="AA174" s="4"/>
      <c r="AB174" s="6"/>
      <c r="AC174" s="4"/>
    </row>
    <row r="175" spans="1:29" x14ac:dyDescent="0.2">
      <c r="A175" s="3"/>
      <c r="B175" s="13"/>
      <c r="C175" s="3"/>
      <c r="D175" s="3"/>
      <c r="E175" s="3"/>
      <c r="F175" s="3"/>
      <c r="G175" s="3"/>
      <c r="H175" s="3"/>
      <c r="I175" s="3"/>
      <c r="J175" s="3"/>
      <c r="K175" s="3"/>
      <c r="L175" s="3"/>
      <c r="M175" s="3"/>
      <c r="N175" s="3"/>
      <c r="O175" s="10"/>
      <c r="P175" s="3"/>
      <c r="Q175" s="3"/>
      <c r="R175" s="3"/>
      <c r="S175" s="4"/>
      <c r="U175" s="4"/>
      <c r="V175" s="6"/>
      <c r="W175" s="4"/>
      <c r="AA175" s="4"/>
      <c r="AB175" s="6"/>
      <c r="AC175" s="4"/>
    </row>
    <row r="176" spans="1:29" x14ac:dyDescent="0.2">
      <c r="A176" s="3"/>
      <c r="B176" s="13"/>
      <c r="C176" s="3"/>
      <c r="D176" s="3"/>
      <c r="E176" s="3"/>
      <c r="F176" s="3"/>
      <c r="G176" s="3"/>
      <c r="H176" s="3"/>
      <c r="I176" s="3"/>
      <c r="J176" s="3"/>
      <c r="K176" s="3"/>
      <c r="L176" s="3"/>
      <c r="M176" s="3"/>
      <c r="N176" s="3"/>
      <c r="O176" s="10"/>
      <c r="P176" s="3"/>
      <c r="Q176" s="3"/>
      <c r="R176" s="3"/>
      <c r="S176" s="4"/>
      <c r="U176" s="4"/>
      <c r="V176" s="6"/>
      <c r="W176" s="4"/>
      <c r="AA176" s="4"/>
      <c r="AB176" s="6"/>
      <c r="AC176" s="4"/>
    </row>
    <row r="177" spans="1:29" x14ac:dyDescent="0.2">
      <c r="A177" s="3"/>
      <c r="B177" s="13"/>
      <c r="C177" s="3"/>
      <c r="D177" s="3"/>
      <c r="E177" s="3"/>
      <c r="F177" s="3"/>
      <c r="G177" s="3"/>
      <c r="H177" s="3"/>
      <c r="I177" s="3"/>
      <c r="J177" s="3"/>
      <c r="K177" s="3"/>
      <c r="L177" s="3"/>
      <c r="M177" s="3"/>
      <c r="N177" s="3"/>
      <c r="O177" s="10"/>
      <c r="P177" s="3"/>
      <c r="Q177" s="3"/>
      <c r="R177" s="3"/>
      <c r="S177" s="4"/>
      <c r="U177" s="4"/>
      <c r="V177" s="6"/>
      <c r="W177" s="4"/>
      <c r="AA177" s="4"/>
      <c r="AB177" s="6"/>
      <c r="AC177" s="4"/>
    </row>
    <row r="178" spans="1:29" x14ac:dyDescent="0.2">
      <c r="A178" s="3"/>
      <c r="B178" s="13"/>
      <c r="C178" s="3"/>
      <c r="D178" s="3"/>
      <c r="E178" s="3"/>
      <c r="F178" s="3"/>
      <c r="G178" s="3"/>
      <c r="H178" s="3"/>
      <c r="I178" s="3"/>
      <c r="J178" s="3"/>
      <c r="K178" s="3"/>
      <c r="L178" s="3"/>
      <c r="M178" s="3"/>
      <c r="N178" s="3"/>
      <c r="O178" s="10"/>
      <c r="P178" s="3"/>
      <c r="Q178" s="3"/>
      <c r="R178" s="3"/>
      <c r="S178" s="4"/>
      <c r="U178" s="4"/>
      <c r="V178" s="6"/>
      <c r="W178" s="4"/>
      <c r="AA178" s="4"/>
      <c r="AB178" s="6"/>
      <c r="AC178" s="4"/>
    </row>
    <row r="179" spans="1:29" x14ac:dyDescent="0.2">
      <c r="A179" s="3"/>
      <c r="B179" s="13"/>
      <c r="C179" s="3"/>
      <c r="D179" s="3"/>
      <c r="E179" s="3"/>
      <c r="F179" s="3"/>
      <c r="G179" s="3"/>
      <c r="H179" s="3"/>
      <c r="I179" s="3"/>
      <c r="J179" s="3"/>
      <c r="K179" s="3"/>
      <c r="L179" s="3"/>
      <c r="M179" s="3"/>
      <c r="N179" s="3"/>
      <c r="O179" s="10"/>
      <c r="P179" s="3"/>
      <c r="Q179" s="3"/>
      <c r="R179" s="3"/>
      <c r="S179" s="4"/>
      <c r="U179" s="4"/>
      <c r="V179" s="6"/>
      <c r="W179" s="4"/>
      <c r="AA179" s="4"/>
      <c r="AB179" s="6"/>
      <c r="AC179" s="4"/>
    </row>
    <row r="180" spans="1:29" x14ac:dyDescent="0.2">
      <c r="A180" s="3"/>
      <c r="B180" s="13"/>
      <c r="C180" s="3"/>
      <c r="D180" s="3"/>
      <c r="E180" s="3"/>
      <c r="F180" s="3"/>
      <c r="G180" s="3"/>
      <c r="H180" s="3"/>
      <c r="I180" s="3"/>
      <c r="J180" s="3"/>
      <c r="K180" s="3"/>
      <c r="L180" s="3"/>
      <c r="M180" s="3"/>
      <c r="N180" s="3"/>
      <c r="O180" s="10"/>
      <c r="P180" s="3"/>
      <c r="Q180" s="3"/>
      <c r="R180" s="3"/>
      <c r="S180" s="4"/>
      <c r="U180" s="4"/>
      <c r="V180" s="6"/>
      <c r="W180" s="4"/>
      <c r="AA180" s="4"/>
      <c r="AB180" s="6"/>
      <c r="AC180" s="4"/>
    </row>
    <row r="181" spans="1:29" x14ac:dyDescent="0.2">
      <c r="A181" s="3"/>
      <c r="B181" s="13"/>
      <c r="C181" s="3"/>
      <c r="D181" s="3"/>
      <c r="E181" s="3"/>
      <c r="F181" s="3"/>
      <c r="G181" s="3"/>
      <c r="H181" s="3"/>
      <c r="I181" s="3"/>
      <c r="J181" s="3"/>
      <c r="K181" s="3"/>
      <c r="L181" s="3"/>
      <c r="M181" s="3"/>
      <c r="N181" s="3"/>
      <c r="O181" s="10"/>
      <c r="P181" s="3"/>
      <c r="Q181" s="3"/>
      <c r="R181" s="3"/>
      <c r="S181" s="4"/>
      <c r="U181" s="4"/>
      <c r="V181" s="6"/>
      <c r="W181" s="4"/>
      <c r="AA181" s="4"/>
      <c r="AB181" s="6"/>
      <c r="AC181" s="4"/>
    </row>
    <row r="182" spans="1:29" x14ac:dyDescent="0.2">
      <c r="A182" s="3"/>
      <c r="B182" s="13"/>
      <c r="C182" s="3"/>
      <c r="D182" s="3"/>
      <c r="E182" s="3"/>
      <c r="F182" s="3"/>
      <c r="G182" s="3"/>
      <c r="H182" s="3"/>
      <c r="I182" s="3"/>
      <c r="J182" s="3"/>
      <c r="K182" s="3"/>
      <c r="L182" s="3"/>
      <c r="M182" s="3"/>
      <c r="N182" s="3"/>
      <c r="O182" s="10"/>
      <c r="P182" s="3"/>
      <c r="Q182" s="3"/>
      <c r="R182" s="3"/>
      <c r="S182" s="4"/>
      <c r="U182" s="4"/>
      <c r="V182" s="6"/>
      <c r="W182" s="4"/>
      <c r="AA182" s="4"/>
      <c r="AB182" s="6"/>
      <c r="AC182" s="4"/>
    </row>
    <row r="183" spans="1:29" x14ac:dyDescent="0.2">
      <c r="A183" s="3"/>
      <c r="B183" s="13"/>
      <c r="C183" s="3"/>
      <c r="D183" s="3"/>
      <c r="E183" s="3"/>
      <c r="F183" s="3"/>
      <c r="G183" s="3"/>
      <c r="H183" s="3"/>
      <c r="I183" s="3"/>
      <c r="J183" s="3"/>
      <c r="K183" s="3"/>
      <c r="L183" s="3"/>
      <c r="M183" s="3"/>
      <c r="N183" s="3"/>
      <c r="O183" s="10"/>
      <c r="P183" s="3"/>
      <c r="Q183" s="3"/>
      <c r="R183" s="3"/>
      <c r="S183" s="4"/>
      <c r="U183" s="4"/>
      <c r="V183" s="6"/>
      <c r="W183" s="4"/>
      <c r="AA183" s="4"/>
      <c r="AB183" s="6"/>
      <c r="AC183" s="4"/>
    </row>
    <row r="184" spans="1:29" x14ac:dyDescent="0.2">
      <c r="A184" s="3"/>
      <c r="B184" s="13"/>
      <c r="C184" s="3"/>
      <c r="D184" s="3"/>
      <c r="E184" s="3"/>
      <c r="F184" s="3"/>
      <c r="G184" s="3"/>
      <c r="H184" s="3"/>
      <c r="I184" s="3"/>
      <c r="J184" s="3"/>
      <c r="K184" s="3"/>
      <c r="L184" s="3"/>
      <c r="M184" s="3"/>
      <c r="N184" s="3"/>
      <c r="O184" s="10"/>
      <c r="P184" s="3"/>
      <c r="Q184" s="3"/>
      <c r="R184" s="3"/>
      <c r="S184" s="4"/>
      <c r="U184" s="4"/>
      <c r="V184" s="6"/>
      <c r="W184" s="4"/>
      <c r="AA184" s="4"/>
      <c r="AB184" s="6"/>
      <c r="AC184" s="4"/>
    </row>
    <row r="185" spans="1:29" x14ac:dyDescent="0.2">
      <c r="A185" s="3"/>
      <c r="B185" s="13"/>
      <c r="C185" s="3"/>
      <c r="D185" s="3"/>
      <c r="E185" s="3"/>
      <c r="F185" s="3"/>
      <c r="G185" s="3"/>
      <c r="H185" s="3"/>
      <c r="I185" s="3"/>
      <c r="J185" s="3"/>
      <c r="K185" s="3"/>
      <c r="L185" s="3"/>
      <c r="M185" s="3"/>
      <c r="N185" s="3"/>
      <c r="O185" s="10"/>
      <c r="P185" s="3"/>
      <c r="Q185" s="3"/>
      <c r="R185" s="3"/>
      <c r="S185" s="4"/>
      <c r="U185" s="4"/>
      <c r="V185" s="6"/>
      <c r="W185" s="4"/>
      <c r="AB185" s="6"/>
    </row>
    <row r="186" spans="1:29" x14ac:dyDescent="0.2">
      <c r="A186" s="3"/>
      <c r="B186" s="13"/>
      <c r="C186" s="3"/>
      <c r="D186" s="3"/>
      <c r="E186" s="3"/>
      <c r="F186" s="3"/>
      <c r="G186" s="3"/>
      <c r="H186" s="3"/>
      <c r="I186" s="3"/>
      <c r="J186" s="3"/>
      <c r="K186" s="3"/>
      <c r="L186" s="3"/>
      <c r="M186" s="3"/>
      <c r="N186" s="3"/>
      <c r="O186" s="10"/>
      <c r="P186" s="3"/>
      <c r="Q186" s="3"/>
      <c r="R186" s="3"/>
      <c r="S186" s="4"/>
      <c r="U186" s="4"/>
      <c r="V186" s="6"/>
      <c r="W186" s="4"/>
      <c r="AB186" s="6"/>
    </row>
    <row r="187" spans="1:29" x14ac:dyDescent="0.2">
      <c r="A187" s="3"/>
      <c r="B187" s="13"/>
      <c r="C187" s="3"/>
      <c r="D187" s="3"/>
      <c r="E187" s="3"/>
      <c r="F187" s="3"/>
      <c r="G187" s="3"/>
      <c r="H187" s="3"/>
      <c r="I187" s="3"/>
      <c r="J187" s="3"/>
      <c r="K187" s="3"/>
      <c r="L187" s="3"/>
      <c r="M187" s="3"/>
      <c r="N187" s="3"/>
      <c r="O187" s="10"/>
      <c r="P187" s="3"/>
      <c r="Q187" s="3"/>
      <c r="R187" s="3"/>
      <c r="S187" s="4"/>
      <c r="U187" s="4"/>
      <c r="V187" s="6"/>
      <c r="W187" s="4"/>
      <c r="AB187" s="6"/>
    </row>
    <row r="188" spans="1:29" x14ac:dyDescent="0.2">
      <c r="A188" s="3"/>
      <c r="B188" s="13"/>
      <c r="C188" s="3"/>
      <c r="D188" s="3"/>
      <c r="E188" s="3"/>
      <c r="F188" s="3"/>
      <c r="G188" s="3"/>
      <c r="H188" s="3"/>
      <c r="I188" s="3"/>
      <c r="J188" s="3"/>
      <c r="K188" s="3"/>
      <c r="L188" s="3"/>
      <c r="M188" s="3"/>
      <c r="N188" s="3"/>
      <c r="O188" s="10"/>
      <c r="P188" s="3"/>
      <c r="Q188" s="3"/>
      <c r="R188" s="3"/>
      <c r="S188" s="4"/>
      <c r="U188" s="4"/>
      <c r="V188" s="6"/>
      <c r="W188" s="4"/>
      <c r="AB188" s="6"/>
    </row>
    <row r="189" spans="1:29" x14ac:dyDescent="0.2">
      <c r="A189" s="3"/>
      <c r="B189" s="13"/>
      <c r="C189" s="3"/>
      <c r="D189" s="3"/>
      <c r="E189" s="3"/>
      <c r="F189" s="3"/>
      <c r="G189" s="3"/>
      <c r="H189" s="3"/>
      <c r="I189" s="3"/>
      <c r="J189" s="3"/>
      <c r="K189" s="3"/>
      <c r="L189" s="3"/>
      <c r="M189" s="3"/>
      <c r="N189" s="3"/>
      <c r="O189" s="10"/>
      <c r="P189" s="3"/>
      <c r="Q189" s="3"/>
      <c r="R189" s="3"/>
      <c r="S189" s="4"/>
      <c r="U189" s="4"/>
      <c r="V189" s="6"/>
      <c r="W189" s="4"/>
      <c r="AB189" s="6"/>
    </row>
    <row r="190" spans="1:29" x14ac:dyDescent="0.2">
      <c r="A190" s="3"/>
      <c r="B190" s="13"/>
      <c r="C190" s="3"/>
      <c r="D190" s="3"/>
      <c r="E190" s="3"/>
      <c r="F190" s="3"/>
      <c r="G190" s="3"/>
      <c r="H190" s="3"/>
      <c r="I190" s="3"/>
      <c r="J190" s="3"/>
      <c r="K190" s="3"/>
      <c r="L190" s="3"/>
      <c r="M190" s="3"/>
      <c r="N190" s="3"/>
      <c r="O190" s="10"/>
      <c r="P190" s="3"/>
      <c r="Q190" s="3"/>
      <c r="R190" s="3"/>
      <c r="S190" s="4"/>
      <c r="U190" s="4"/>
      <c r="V190" s="6"/>
      <c r="W190" s="4"/>
      <c r="AB190" s="6"/>
    </row>
    <row r="191" spans="1:29" x14ac:dyDescent="0.2">
      <c r="A191" s="3"/>
      <c r="B191" s="13"/>
      <c r="C191" s="3"/>
      <c r="D191" s="3"/>
      <c r="E191" s="3"/>
      <c r="F191" s="3"/>
      <c r="G191" s="3"/>
      <c r="H191" s="3"/>
      <c r="I191" s="3"/>
      <c r="J191" s="3"/>
      <c r="K191" s="3"/>
      <c r="L191" s="3"/>
      <c r="M191" s="3"/>
      <c r="N191" s="3"/>
      <c r="O191" s="10"/>
      <c r="P191" s="3"/>
      <c r="Q191" s="3"/>
      <c r="R191" s="3"/>
      <c r="S191" s="4"/>
      <c r="U191" s="4"/>
      <c r="V191" s="6"/>
      <c r="W191" s="4"/>
      <c r="AB191" s="6"/>
    </row>
    <row r="192" spans="1:29" x14ac:dyDescent="0.2">
      <c r="A192" s="3"/>
      <c r="B192" s="13"/>
      <c r="C192" s="3"/>
      <c r="D192" s="3"/>
      <c r="E192" s="3"/>
      <c r="F192" s="3"/>
      <c r="G192" s="3"/>
      <c r="H192" s="3"/>
      <c r="I192" s="3"/>
      <c r="J192" s="3"/>
      <c r="K192" s="3"/>
      <c r="L192" s="3"/>
      <c r="M192" s="3"/>
      <c r="N192" s="3"/>
      <c r="O192" s="10"/>
      <c r="P192" s="3"/>
      <c r="Q192" s="3"/>
      <c r="R192" s="3"/>
      <c r="S192" s="4"/>
      <c r="U192" s="4"/>
      <c r="V192" s="6"/>
      <c r="W192" s="4"/>
      <c r="AB192" s="6"/>
    </row>
    <row r="193" spans="1:28" x14ac:dyDescent="0.2">
      <c r="A193" s="3"/>
      <c r="B193" s="13"/>
      <c r="C193" s="3"/>
      <c r="D193" s="3"/>
      <c r="E193" s="3"/>
      <c r="F193" s="3"/>
      <c r="G193" s="3"/>
      <c r="H193" s="3"/>
      <c r="I193" s="3"/>
      <c r="J193" s="3"/>
      <c r="K193" s="3"/>
      <c r="L193" s="3"/>
      <c r="M193" s="3"/>
      <c r="N193" s="3"/>
      <c r="O193" s="10"/>
      <c r="P193" s="3"/>
      <c r="Q193" s="3"/>
      <c r="R193" s="3"/>
      <c r="S193" s="4"/>
      <c r="U193" s="4"/>
      <c r="V193" s="6"/>
      <c r="W193" s="4"/>
      <c r="AB193" s="6"/>
    </row>
    <row r="194" spans="1:28" x14ac:dyDescent="0.2">
      <c r="A194" s="3"/>
      <c r="B194" s="13"/>
      <c r="C194" s="3"/>
      <c r="D194" s="3"/>
      <c r="E194" s="3"/>
      <c r="F194" s="3"/>
      <c r="G194" s="3"/>
      <c r="H194" s="3"/>
      <c r="I194" s="3"/>
      <c r="J194" s="3"/>
      <c r="K194" s="3"/>
      <c r="L194" s="3"/>
      <c r="M194" s="3"/>
      <c r="N194" s="3"/>
      <c r="O194" s="10"/>
      <c r="P194" s="3"/>
      <c r="Q194" s="3"/>
      <c r="R194" s="3"/>
      <c r="S194" s="4"/>
      <c r="U194" s="4"/>
      <c r="V194" s="6"/>
      <c r="W194" s="4"/>
      <c r="AB194" s="6"/>
    </row>
    <row r="195" spans="1:28" x14ac:dyDescent="0.2">
      <c r="A195" s="3"/>
      <c r="B195" s="13"/>
      <c r="C195" s="3"/>
      <c r="D195" s="3"/>
      <c r="E195" s="3"/>
      <c r="F195" s="3"/>
      <c r="G195" s="3"/>
      <c r="H195" s="3"/>
      <c r="I195" s="3"/>
      <c r="J195" s="3"/>
      <c r="K195" s="3"/>
      <c r="L195" s="3"/>
      <c r="M195" s="3"/>
      <c r="N195" s="3"/>
      <c r="O195" s="10"/>
      <c r="P195" s="3"/>
      <c r="Q195" s="3"/>
      <c r="R195" s="3"/>
      <c r="S195" s="4"/>
      <c r="U195" s="4"/>
      <c r="V195" s="6"/>
      <c r="W195" s="4"/>
      <c r="AB195" s="6"/>
    </row>
    <row r="196" spans="1:28" x14ac:dyDescent="0.2">
      <c r="A196" s="3"/>
      <c r="B196" s="13"/>
      <c r="C196" s="3"/>
      <c r="D196" s="3"/>
      <c r="E196" s="3"/>
      <c r="F196" s="3"/>
      <c r="G196" s="3"/>
      <c r="H196" s="3"/>
      <c r="I196" s="3"/>
      <c r="J196" s="3"/>
      <c r="K196" s="3"/>
      <c r="L196" s="3"/>
      <c r="M196" s="3"/>
      <c r="N196" s="3"/>
      <c r="O196" s="10"/>
      <c r="P196" s="3"/>
      <c r="Q196" s="3"/>
      <c r="R196" s="3"/>
      <c r="S196" s="4"/>
      <c r="U196" s="4"/>
      <c r="V196" s="6"/>
      <c r="W196" s="4"/>
      <c r="AB196" s="6"/>
    </row>
    <row r="197" spans="1:28" x14ac:dyDescent="0.2">
      <c r="A197" s="3"/>
      <c r="B197" s="13"/>
      <c r="C197" s="3"/>
      <c r="D197" s="3"/>
      <c r="E197" s="3"/>
      <c r="F197" s="3"/>
      <c r="G197" s="3"/>
      <c r="H197" s="3"/>
      <c r="I197" s="3"/>
      <c r="J197" s="3"/>
      <c r="K197" s="3"/>
      <c r="L197" s="3"/>
      <c r="M197" s="3"/>
      <c r="N197" s="3"/>
      <c r="O197" s="10"/>
      <c r="P197" s="3"/>
      <c r="Q197" s="3"/>
      <c r="R197" s="3"/>
      <c r="S197" s="4"/>
      <c r="U197" s="4"/>
      <c r="V197" s="6"/>
      <c r="W197" s="4"/>
      <c r="AB197" s="6"/>
    </row>
    <row r="198" spans="1:28" x14ac:dyDescent="0.2">
      <c r="A198" s="3"/>
      <c r="B198" s="13"/>
      <c r="C198" s="3"/>
      <c r="D198" s="3"/>
      <c r="E198" s="3"/>
      <c r="F198" s="3"/>
      <c r="G198" s="3"/>
      <c r="H198" s="3"/>
      <c r="I198" s="3"/>
      <c r="J198" s="3"/>
      <c r="K198" s="3"/>
      <c r="L198" s="3"/>
      <c r="M198" s="3"/>
      <c r="N198" s="3"/>
      <c r="O198" s="10"/>
      <c r="P198" s="3"/>
      <c r="Q198" s="3"/>
      <c r="R198" s="3"/>
      <c r="S198" s="4"/>
      <c r="U198" s="4"/>
      <c r="V198" s="6"/>
      <c r="W198" s="4"/>
      <c r="AB198" s="6"/>
    </row>
    <row r="199" spans="1:28" x14ac:dyDescent="0.2">
      <c r="A199" s="3"/>
      <c r="B199" s="13"/>
      <c r="C199" s="3"/>
      <c r="D199" s="3"/>
      <c r="E199" s="3"/>
      <c r="F199" s="3"/>
      <c r="G199" s="3"/>
      <c r="H199" s="3"/>
      <c r="I199" s="3"/>
      <c r="J199" s="3"/>
      <c r="K199" s="3"/>
      <c r="L199" s="3"/>
      <c r="M199" s="3"/>
      <c r="N199" s="3"/>
      <c r="O199" s="10"/>
      <c r="P199" s="3"/>
      <c r="Q199" s="3"/>
      <c r="R199" s="3"/>
      <c r="S199" s="4"/>
      <c r="U199" s="4"/>
      <c r="V199" s="6"/>
      <c r="W199" s="4"/>
      <c r="AB199" s="6"/>
    </row>
    <row r="200" spans="1:28" x14ac:dyDescent="0.2">
      <c r="A200" s="3"/>
      <c r="B200" s="13"/>
      <c r="C200" s="3"/>
      <c r="D200" s="3"/>
      <c r="E200" s="3"/>
      <c r="F200" s="3"/>
      <c r="G200" s="3"/>
      <c r="H200" s="3"/>
      <c r="I200" s="3"/>
      <c r="J200" s="3"/>
      <c r="K200" s="3"/>
      <c r="L200" s="3"/>
      <c r="M200" s="3"/>
      <c r="N200" s="3"/>
      <c r="O200" s="10"/>
      <c r="P200" s="3"/>
      <c r="Q200" s="3"/>
      <c r="R200" s="3"/>
      <c r="S200" s="4"/>
      <c r="U200" s="4"/>
      <c r="V200" s="6"/>
      <c r="W200" s="4"/>
      <c r="AB200" s="6"/>
    </row>
    <row r="201" spans="1:28" x14ac:dyDescent="0.2">
      <c r="A201" s="3"/>
      <c r="B201" s="13"/>
      <c r="C201" s="3"/>
      <c r="D201" s="3"/>
      <c r="E201" s="3"/>
      <c r="F201" s="3"/>
      <c r="G201" s="3"/>
      <c r="H201" s="3"/>
      <c r="I201" s="3"/>
      <c r="J201" s="3"/>
      <c r="K201" s="3"/>
      <c r="L201" s="3"/>
      <c r="M201" s="3"/>
      <c r="N201" s="3"/>
      <c r="O201" s="10"/>
      <c r="P201" s="3"/>
      <c r="Q201" s="3"/>
      <c r="R201" s="3"/>
      <c r="S201" s="4"/>
      <c r="U201" s="4"/>
      <c r="V201" s="6"/>
      <c r="W201" s="4"/>
      <c r="AB201" s="6"/>
    </row>
    <row r="202" spans="1:28" x14ac:dyDescent="0.2">
      <c r="A202" s="3"/>
      <c r="B202" s="13"/>
      <c r="C202" s="3"/>
      <c r="D202" s="3"/>
      <c r="E202" s="3"/>
      <c r="F202" s="3"/>
      <c r="G202" s="3"/>
      <c r="H202" s="3"/>
      <c r="I202" s="3"/>
      <c r="J202" s="3"/>
      <c r="K202" s="3"/>
      <c r="L202" s="3"/>
      <c r="M202" s="3"/>
      <c r="N202" s="3"/>
      <c r="O202" s="10"/>
      <c r="P202" s="3"/>
      <c r="Q202" s="3"/>
      <c r="R202" s="3"/>
      <c r="S202" s="4"/>
      <c r="U202" s="4"/>
      <c r="V202" s="6"/>
      <c r="W202" s="4"/>
      <c r="AB202" s="6"/>
    </row>
    <row r="203" spans="1:28" x14ac:dyDescent="0.2">
      <c r="A203" s="3"/>
      <c r="B203" s="13"/>
      <c r="C203" s="3"/>
      <c r="D203" s="3"/>
      <c r="E203" s="3"/>
      <c r="F203" s="3"/>
      <c r="G203" s="3"/>
      <c r="H203" s="3"/>
      <c r="I203" s="3"/>
      <c r="J203" s="3"/>
      <c r="K203" s="3"/>
      <c r="L203" s="3"/>
      <c r="M203" s="3"/>
      <c r="N203" s="3"/>
      <c r="O203" s="10"/>
      <c r="P203" s="3"/>
      <c r="Q203" s="3"/>
      <c r="R203" s="3"/>
      <c r="S203" s="4"/>
      <c r="U203" s="4"/>
      <c r="V203" s="6"/>
      <c r="W203" s="4"/>
      <c r="AB203" s="6"/>
    </row>
    <row r="204" spans="1:28" x14ac:dyDescent="0.2">
      <c r="A204" s="3"/>
      <c r="B204" s="3"/>
      <c r="C204" s="3"/>
      <c r="D204" s="3"/>
      <c r="E204" s="3"/>
      <c r="F204" s="3"/>
      <c r="G204" s="3"/>
      <c r="H204" s="3"/>
      <c r="I204" s="3"/>
      <c r="J204" s="3"/>
      <c r="K204" s="3"/>
      <c r="L204" s="3"/>
      <c r="M204" s="3"/>
      <c r="N204" s="3"/>
      <c r="O204" s="10"/>
      <c r="P204" s="3"/>
      <c r="Q204" s="3"/>
      <c r="R204" s="3"/>
      <c r="S204" s="4"/>
      <c r="U204" s="4"/>
      <c r="V204" s="6"/>
      <c r="W204" s="4"/>
      <c r="AB204" s="6"/>
    </row>
    <row r="205" spans="1:28" x14ac:dyDescent="0.2">
      <c r="A205" s="3"/>
      <c r="B205" s="3"/>
      <c r="C205" s="3"/>
      <c r="D205" s="3"/>
      <c r="E205" s="3"/>
      <c r="F205" s="3"/>
      <c r="G205" s="3"/>
      <c r="H205" s="3"/>
      <c r="I205" s="3"/>
      <c r="J205" s="3"/>
      <c r="K205" s="3"/>
      <c r="L205" s="3"/>
      <c r="M205" s="3"/>
      <c r="N205" s="3"/>
      <c r="O205" s="10"/>
      <c r="P205" s="3"/>
      <c r="Q205" s="3"/>
      <c r="R205" s="3"/>
      <c r="S205" s="4"/>
      <c r="U205" s="4"/>
      <c r="V205" s="6"/>
      <c r="W205" s="4"/>
      <c r="AB205" s="6"/>
    </row>
    <row r="206" spans="1:28" x14ac:dyDescent="0.2">
      <c r="A206" s="3"/>
      <c r="B206" s="3"/>
      <c r="C206" s="3"/>
      <c r="D206" s="3"/>
      <c r="E206" s="3"/>
      <c r="F206" s="3"/>
      <c r="G206" s="3"/>
      <c r="H206" s="3"/>
      <c r="I206" s="3"/>
      <c r="J206" s="3"/>
      <c r="K206" s="3"/>
      <c r="L206" s="3"/>
      <c r="M206" s="3"/>
      <c r="N206" s="3"/>
      <c r="O206" s="10"/>
      <c r="P206" s="3"/>
      <c r="Q206" s="3"/>
      <c r="R206" s="3"/>
      <c r="S206" s="4"/>
      <c r="U206" s="4"/>
      <c r="V206" s="6"/>
      <c r="W206" s="4"/>
      <c r="AB206" s="6"/>
    </row>
    <row r="207" spans="1:28" x14ac:dyDescent="0.2">
      <c r="A207" s="3"/>
      <c r="B207" s="3"/>
      <c r="C207" s="3"/>
      <c r="D207" s="3"/>
      <c r="E207" s="3"/>
      <c r="F207" s="3"/>
      <c r="G207" s="3"/>
      <c r="H207" s="3"/>
      <c r="I207" s="3"/>
      <c r="J207" s="3"/>
      <c r="K207" s="3"/>
      <c r="L207" s="3"/>
      <c r="M207" s="3"/>
      <c r="N207" s="3"/>
      <c r="O207" s="10"/>
      <c r="P207" s="3"/>
      <c r="Q207" s="3"/>
      <c r="R207" s="3"/>
      <c r="S207" s="4"/>
      <c r="U207" s="4"/>
      <c r="V207" s="6"/>
      <c r="W207" s="4"/>
      <c r="AB207" s="6"/>
    </row>
    <row r="208" spans="1:28" x14ac:dyDescent="0.2">
      <c r="A208" s="3"/>
      <c r="B208" s="3"/>
      <c r="C208" s="3"/>
      <c r="D208" s="3"/>
      <c r="E208" s="3"/>
      <c r="F208" s="3"/>
      <c r="G208" s="3"/>
      <c r="H208" s="3"/>
      <c r="I208" s="3"/>
      <c r="J208" s="3"/>
      <c r="K208" s="3"/>
      <c r="L208" s="3"/>
      <c r="M208" s="3"/>
      <c r="N208" s="3"/>
      <c r="O208" s="10"/>
      <c r="P208" s="3"/>
      <c r="Q208" s="3"/>
      <c r="R208" s="3"/>
      <c r="S208" s="4"/>
      <c r="U208" s="4"/>
      <c r="V208" s="6"/>
      <c r="W208" s="4"/>
      <c r="AB208" s="6"/>
    </row>
    <row r="209" spans="1:28" x14ac:dyDescent="0.2">
      <c r="A209" s="3"/>
      <c r="B209" s="3"/>
      <c r="C209" s="3"/>
      <c r="D209" s="3"/>
      <c r="E209" s="3"/>
      <c r="F209" s="3"/>
      <c r="G209" s="3"/>
      <c r="H209" s="3"/>
      <c r="I209" s="3"/>
      <c r="J209" s="3"/>
      <c r="K209" s="3"/>
      <c r="L209" s="3"/>
      <c r="M209" s="3"/>
      <c r="N209" s="3"/>
      <c r="O209" s="10"/>
      <c r="P209" s="3"/>
      <c r="Q209" s="3"/>
      <c r="R209" s="3"/>
      <c r="S209" s="4"/>
      <c r="U209" s="4"/>
      <c r="V209" s="6"/>
      <c r="W209" s="4"/>
      <c r="AB209" s="6"/>
    </row>
    <row r="210" spans="1:28" x14ac:dyDescent="0.2">
      <c r="A210" s="3"/>
      <c r="B210" s="3"/>
      <c r="C210" s="3"/>
      <c r="D210" s="3"/>
      <c r="E210" s="3"/>
      <c r="F210" s="3"/>
      <c r="G210" s="3"/>
      <c r="H210" s="3"/>
      <c r="I210" s="3"/>
      <c r="J210" s="3"/>
      <c r="K210" s="3"/>
      <c r="L210" s="3"/>
      <c r="M210" s="3"/>
      <c r="N210" s="3"/>
      <c r="O210" s="10"/>
      <c r="P210" s="3"/>
      <c r="Q210" s="3"/>
      <c r="R210" s="3"/>
      <c r="S210" s="4"/>
      <c r="U210" s="4"/>
      <c r="V210" s="6"/>
      <c r="W210" s="4"/>
      <c r="AB210" s="6"/>
    </row>
    <row r="211" spans="1:28" x14ac:dyDescent="0.2">
      <c r="A211" s="3"/>
      <c r="B211" s="3"/>
      <c r="C211" s="3"/>
      <c r="D211" s="3"/>
      <c r="E211" s="3"/>
      <c r="F211" s="3"/>
      <c r="G211" s="3"/>
      <c r="H211" s="3"/>
      <c r="I211" s="3"/>
      <c r="J211" s="3"/>
      <c r="K211" s="3"/>
      <c r="L211" s="3"/>
      <c r="M211" s="3"/>
      <c r="N211" s="3"/>
      <c r="O211" s="10"/>
      <c r="P211" s="3"/>
      <c r="Q211" s="3"/>
      <c r="R211" s="3"/>
      <c r="S211" s="4"/>
      <c r="U211" s="4"/>
      <c r="V211" s="6"/>
      <c r="W211" s="4"/>
      <c r="AB211" s="6"/>
    </row>
    <row r="212" spans="1:28" x14ac:dyDescent="0.2">
      <c r="A212" s="3"/>
      <c r="B212" s="3"/>
      <c r="C212" s="3"/>
      <c r="D212" s="3"/>
      <c r="E212" s="3"/>
      <c r="F212" s="3"/>
      <c r="G212" s="3"/>
      <c r="H212" s="3"/>
      <c r="I212" s="3"/>
      <c r="J212" s="3"/>
      <c r="K212" s="3"/>
      <c r="L212" s="3"/>
      <c r="M212" s="3"/>
      <c r="N212" s="3"/>
      <c r="O212" s="10"/>
      <c r="P212" s="3"/>
      <c r="Q212" s="3"/>
      <c r="R212" s="3"/>
      <c r="S212" s="4"/>
      <c r="U212" s="4"/>
      <c r="V212" s="6"/>
      <c r="W212" s="4"/>
      <c r="AB212" s="6"/>
    </row>
    <row r="213" spans="1:28" x14ac:dyDescent="0.2">
      <c r="A213" s="3"/>
      <c r="B213" s="3"/>
      <c r="C213" s="3"/>
      <c r="D213" s="3"/>
      <c r="E213" s="3"/>
      <c r="F213" s="3"/>
      <c r="G213" s="3"/>
      <c r="H213" s="3"/>
      <c r="I213" s="3"/>
      <c r="J213" s="3"/>
      <c r="K213" s="3"/>
      <c r="L213" s="3"/>
      <c r="M213" s="3"/>
      <c r="N213" s="3"/>
      <c r="O213" s="10"/>
      <c r="P213" s="3"/>
      <c r="Q213" s="3"/>
      <c r="R213" s="3"/>
      <c r="S213" s="4"/>
      <c r="U213" s="4"/>
      <c r="V213" s="6"/>
      <c r="W213" s="4"/>
      <c r="AB213" s="6"/>
    </row>
    <row r="214" spans="1:28" x14ac:dyDescent="0.2">
      <c r="A214" s="3"/>
      <c r="B214" s="3"/>
      <c r="C214" s="3"/>
      <c r="D214" s="3"/>
      <c r="E214" s="3"/>
      <c r="F214" s="3"/>
      <c r="G214" s="3"/>
      <c r="H214" s="3"/>
      <c r="I214" s="3"/>
      <c r="J214" s="3"/>
      <c r="K214" s="3"/>
      <c r="L214" s="3"/>
      <c r="M214" s="3"/>
      <c r="N214" s="3"/>
      <c r="O214" s="10"/>
      <c r="P214" s="3"/>
      <c r="Q214" s="3"/>
      <c r="R214" s="3"/>
      <c r="S214" s="4"/>
      <c r="U214" s="4"/>
      <c r="V214" s="6"/>
      <c r="W214" s="4"/>
      <c r="AB214" s="6"/>
    </row>
    <row r="215" spans="1:28" x14ac:dyDescent="0.2">
      <c r="A215" s="3"/>
      <c r="B215" s="3"/>
      <c r="C215" s="3"/>
      <c r="D215" s="3"/>
      <c r="E215" s="3"/>
      <c r="F215" s="3"/>
      <c r="G215" s="3"/>
      <c r="H215" s="3"/>
      <c r="I215" s="3"/>
      <c r="J215" s="3"/>
      <c r="K215" s="3"/>
      <c r="L215" s="3"/>
      <c r="M215" s="3"/>
      <c r="N215" s="3"/>
      <c r="O215" s="10"/>
      <c r="P215" s="3"/>
      <c r="Q215" s="3"/>
      <c r="R215" s="3"/>
      <c r="S215" s="4"/>
      <c r="U215" s="4"/>
      <c r="V215" s="6"/>
      <c r="W215" s="4"/>
      <c r="AB215" s="6"/>
    </row>
    <row r="216" spans="1:28" x14ac:dyDescent="0.2">
      <c r="A216" s="3"/>
      <c r="B216" s="3"/>
      <c r="C216" s="3"/>
      <c r="D216" s="3"/>
      <c r="E216" s="3"/>
      <c r="F216" s="3"/>
      <c r="G216" s="3"/>
      <c r="H216" s="3"/>
      <c r="I216" s="3"/>
      <c r="J216" s="3"/>
      <c r="K216" s="3"/>
      <c r="L216" s="3"/>
      <c r="M216" s="3"/>
      <c r="N216" s="3"/>
      <c r="O216" s="10"/>
      <c r="P216" s="3"/>
      <c r="Q216" s="3"/>
      <c r="R216" s="3"/>
      <c r="S216" s="4"/>
      <c r="U216" s="4"/>
      <c r="V216" s="6"/>
      <c r="W216" s="4"/>
      <c r="AB216" s="6"/>
    </row>
    <row r="217" spans="1:28" x14ac:dyDescent="0.2">
      <c r="A217" s="3"/>
      <c r="B217" s="3"/>
      <c r="C217" s="3"/>
      <c r="D217" s="3"/>
      <c r="E217" s="3"/>
      <c r="F217" s="3"/>
      <c r="G217" s="3"/>
      <c r="H217" s="3"/>
      <c r="I217" s="3"/>
      <c r="J217" s="3"/>
      <c r="K217" s="3"/>
      <c r="L217" s="3"/>
      <c r="M217" s="3"/>
      <c r="N217" s="3"/>
      <c r="O217" s="10"/>
      <c r="P217" s="3"/>
      <c r="Q217" s="3"/>
      <c r="R217" s="3"/>
      <c r="S217" s="4"/>
      <c r="U217" s="4"/>
      <c r="V217" s="6"/>
      <c r="W217" s="4"/>
      <c r="AB217" s="6"/>
    </row>
    <row r="218" spans="1:28" x14ac:dyDescent="0.2">
      <c r="A218" s="3"/>
      <c r="B218" s="3"/>
      <c r="C218" s="3"/>
      <c r="D218" s="3"/>
      <c r="E218" s="3"/>
      <c r="F218" s="3"/>
      <c r="G218" s="3"/>
      <c r="H218" s="3"/>
      <c r="I218" s="3"/>
      <c r="J218" s="3"/>
      <c r="K218" s="3"/>
      <c r="L218" s="3"/>
      <c r="M218" s="3"/>
      <c r="N218" s="3"/>
      <c r="O218" s="10"/>
      <c r="P218" s="3"/>
      <c r="Q218" s="3"/>
      <c r="R218" s="3"/>
      <c r="S218" s="4"/>
      <c r="U218" s="4"/>
      <c r="V218" s="6"/>
      <c r="W218" s="4"/>
      <c r="AB218" s="6"/>
    </row>
    <row r="219" spans="1:28" x14ac:dyDescent="0.2">
      <c r="A219" s="3"/>
      <c r="B219" s="3"/>
      <c r="C219" s="3"/>
      <c r="D219" s="3"/>
      <c r="E219" s="3"/>
      <c r="F219" s="3"/>
      <c r="G219" s="3"/>
      <c r="H219" s="3"/>
      <c r="I219" s="3"/>
      <c r="J219" s="3"/>
      <c r="K219" s="3"/>
      <c r="L219" s="3"/>
      <c r="M219" s="3"/>
      <c r="N219" s="3"/>
      <c r="O219" s="10"/>
      <c r="P219" s="3"/>
      <c r="Q219" s="3"/>
      <c r="R219" s="3"/>
      <c r="S219" s="4"/>
      <c r="U219" s="4"/>
      <c r="V219" s="6"/>
      <c r="W219" s="4"/>
      <c r="AB219" s="6"/>
    </row>
    <row r="220" spans="1:28" x14ac:dyDescent="0.2">
      <c r="A220" s="3"/>
      <c r="B220" s="3"/>
      <c r="C220" s="3"/>
      <c r="D220" s="3"/>
      <c r="E220" s="3"/>
      <c r="F220" s="3"/>
      <c r="G220" s="3"/>
      <c r="H220" s="3"/>
      <c r="I220" s="3"/>
      <c r="J220" s="3"/>
      <c r="K220" s="3"/>
      <c r="L220" s="3"/>
      <c r="M220" s="3"/>
      <c r="N220" s="3"/>
      <c r="O220" s="10"/>
      <c r="P220" s="3"/>
      <c r="Q220" s="3"/>
      <c r="R220" s="3"/>
      <c r="S220" s="4"/>
      <c r="U220" s="4"/>
      <c r="V220" s="6"/>
      <c r="W220" s="4"/>
      <c r="AB220" s="6"/>
    </row>
    <row r="221" spans="1:28" x14ac:dyDescent="0.2">
      <c r="A221" s="3"/>
      <c r="B221" s="3"/>
      <c r="C221" s="3"/>
      <c r="D221" s="3"/>
      <c r="E221" s="3"/>
      <c r="F221" s="3"/>
      <c r="G221" s="3"/>
      <c r="H221" s="3"/>
      <c r="I221" s="3"/>
      <c r="J221" s="3"/>
      <c r="K221" s="3"/>
      <c r="L221" s="3"/>
      <c r="M221" s="3"/>
      <c r="N221" s="3"/>
      <c r="O221" s="10"/>
      <c r="P221" s="3"/>
      <c r="Q221" s="3"/>
      <c r="R221" s="3"/>
      <c r="S221" s="4"/>
      <c r="U221" s="4"/>
      <c r="V221" s="6"/>
      <c r="W221" s="4"/>
      <c r="AB221" s="6"/>
    </row>
    <row r="222" spans="1:28" x14ac:dyDescent="0.2">
      <c r="A222" s="3"/>
      <c r="B222" s="3"/>
      <c r="C222" s="3"/>
      <c r="D222" s="3"/>
      <c r="E222" s="3"/>
      <c r="F222" s="3"/>
      <c r="G222" s="3"/>
      <c r="H222" s="3"/>
      <c r="I222" s="3"/>
      <c r="J222" s="3"/>
      <c r="K222" s="3"/>
      <c r="L222" s="3"/>
      <c r="M222" s="3"/>
      <c r="N222" s="3"/>
      <c r="O222" s="10"/>
      <c r="P222" s="3"/>
      <c r="Q222" s="3"/>
      <c r="R222" s="3"/>
      <c r="S222" s="4"/>
      <c r="U222" s="4"/>
      <c r="V222" s="6"/>
      <c r="W222" s="4"/>
      <c r="AB222" s="6"/>
    </row>
    <row r="223" spans="1:28" x14ac:dyDescent="0.2">
      <c r="A223" s="3"/>
      <c r="B223" s="3"/>
      <c r="C223" s="3"/>
      <c r="D223" s="3"/>
      <c r="E223" s="3"/>
      <c r="F223" s="3"/>
      <c r="G223" s="3"/>
      <c r="H223" s="3"/>
      <c r="I223" s="3"/>
      <c r="J223" s="3"/>
      <c r="K223" s="3"/>
      <c r="L223" s="3"/>
      <c r="M223" s="3"/>
      <c r="N223" s="3"/>
      <c r="O223" s="10"/>
      <c r="P223" s="3"/>
      <c r="Q223" s="3"/>
      <c r="R223" s="3"/>
      <c r="S223" s="4"/>
      <c r="U223" s="4"/>
      <c r="V223" s="6"/>
      <c r="W223" s="4"/>
      <c r="AB223" s="6"/>
    </row>
    <row r="224" spans="1:28" x14ac:dyDescent="0.2">
      <c r="A224" s="3"/>
      <c r="B224" s="3"/>
      <c r="C224" s="3"/>
      <c r="D224" s="3"/>
      <c r="E224" s="3"/>
      <c r="F224" s="3"/>
      <c r="G224" s="3"/>
      <c r="H224" s="3"/>
      <c r="I224" s="3"/>
      <c r="J224" s="3"/>
      <c r="K224" s="3"/>
      <c r="L224" s="3"/>
      <c r="M224" s="3"/>
      <c r="N224" s="3"/>
      <c r="O224" s="10"/>
      <c r="P224" s="3"/>
      <c r="Q224" s="3"/>
      <c r="R224" s="3"/>
      <c r="S224" s="4"/>
      <c r="U224" s="4"/>
      <c r="V224" s="6"/>
      <c r="W224" s="4"/>
      <c r="AB224" s="6"/>
    </row>
    <row r="225" spans="1:28" x14ac:dyDescent="0.2">
      <c r="A225" s="3"/>
      <c r="B225" s="3"/>
      <c r="C225" s="3"/>
      <c r="D225" s="3"/>
      <c r="E225" s="3"/>
      <c r="F225" s="3"/>
      <c r="G225" s="3"/>
      <c r="H225" s="3"/>
      <c r="I225" s="3"/>
      <c r="J225" s="3"/>
      <c r="K225" s="3"/>
      <c r="L225" s="3"/>
      <c r="M225" s="3"/>
      <c r="N225" s="3"/>
      <c r="O225" s="10"/>
      <c r="P225" s="3"/>
      <c r="Q225" s="3"/>
      <c r="R225" s="3"/>
      <c r="S225" s="4"/>
      <c r="U225" s="4"/>
      <c r="V225" s="6"/>
      <c r="W225" s="4"/>
      <c r="AB225" s="6"/>
    </row>
    <row r="226" spans="1:28" x14ac:dyDescent="0.2">
      <c r="A226" s="3"/>
      <c r="B226" s="3"/>
      <c r="C226" s="3"/>
      <c r="D226" s="3"/>
      <c r="E226" s="3"/>
      <c r="F226" s="3"/>
      <c r="G226" s="3"/>
      <c r="H226" s="3"/>
      <c r="I226" s="3"/>
      <c r="J226" s="3"/>
      <c r="K226" s="3"/>
      <c r="L226" s="3"/>
      <c r="M226" s="3"/>
      <c r="N226" s="3"/>
      <c r="O226" s="10"/>
      <c r="P226" s="3"/>
      <c r="Q226" s="3"/>
      <c r="R226" s="3"/>
      <c r="S226" s="4"/>
      <c r="U226" s="4"/>
      <c r="V226" s="6"/>
      <c r="W226" s="4"/>
      <c r="AB226" s="6"/>
    </row>
    <row r="227" spans="1:28" x14ac:dyDescent="0.2">
      <c r="A227" s="3"/>
      <c r="B227" s="3"/>
      <c r="C227" s="3"/>
      <c r="D227" s="3"/>
      <c r="E227" s="3"/>
      <c r="F227" s="3"/>
      <c r="G227" s="3"/>
      <c r="H227" s="3"/>
      <c r="I227" s="3"/>
      <c r="J227" s="3"/>
      <c r="K227" s="3"/>
      <c r="L227" s="3"/>
      <c r="M227" s="3"/>
      <c r="N227" s="3"/>
      <c r="O227" s="10"/>
      <c r="P227" s="3"/>
      <c r="Q227" s="3"/>
      <c r="R227" s="3"/>
      <c r="S227" s="4"/>
      <c r="U227" s="4"/>
      <c r="V227" s="6"/>
      <c r="W227" s="4"/>
      <c r="AB227" s="6"/>
    </row>
    <row r="228" spans="1:28" x14ac:dyDescent="0.2">
      <c r="A228" s="3"/>
      <c r="B228" s="3"/>
      <c r="C228" s="3"/>
      <c r="D228" s="3"/>
      <c r="E228" s="3"/>
      <c r="F228" s="3"/>
      <c r="G228" s="3"/>
      <c r="H228" s="3"/>
      <c r="I228" s="3"/>
      <c r="J228" s="3"/>
      <c r="K228" s="3"/>
      <c r="L228" s="3"/>
      <c r="M228" s="3"/>
      <c r="N228" s="3"/>
      <c r="O228" s="10"/>
      <c r="P228" s="3"/>
      <c r="Q228" s="3"/>
      <c r="R228" s="3"/>
      <c r="S228" s="4"/>
      <c r="U228" s="4"/>
      <c r="V228" s="6"/>
      <c r="W228" s="4"/>
      <c r="AB228" s="6"/>
    </row>
    <row r="229" spans="1:28" x14ac:dyDescent="0.2">
      <c r="A229" s="3"/>
      <c r="B229" s="3"/>
      <c r="C229" s="3"/>
      <c r="D229" s="3"/>
      <c r="E229" s="3"/>
      <c r="F229" s="3"/>
      <c r="G229" s="3"/>
      <c r="H229" s="3"/>
      <c r="I229" s="3"/>
      <c r="J229" s="3"/>
      <c r="K229" s="3"/>
      <c r="L229" s="3"/>
      <c r="M229" s="3"/>
      <c r="N229" s="3"/>
      <c r="O229" s="10"/>
      <c r="P229" s="3"/>
      <c r="Q229" s="3"/>
      <c r="R229" s="3"/>
      <c r="S229" s="4"/>
      <c r="U229" s="4"/>
      <c r="V229" s="6"/>
      <c r="W229" s="4"/>
      <c r="AB229" s="6"/>
    </row>
    <row r="230" spans="1:28" x14ac:dyDescent="0.2">
      <c r="A230" s="3"/>
      <c r="B230" s="3"/>
      <c r="C230" s="3"/>
      <c r="D230" s="3"/>
      <c r="E230" s="3"/>
      <c r="F230" s="3"/>
      <c r="G230" s="3"/>
      <c r="H230" s="3"/>
      <c r="I230" s="3"/>
      <c r="J230" s="3"/>
      <c r="K230" s="3"/>
      <c r="L230" s="3"/>
      <c r="M230" s="3"/>
      <c r="N230" s="3"/>
      <c r="O230" s="10"/>
      <c r="P230" s="3"/>
      <c r="Q230" s="3"/>
      <c r="R230" s="3"/>
      <c r="S230" s="4"/>
      <c r="U230" s="4"/>
      <c r="V230" s="6"/>
      <c r="W230" s="4"/>
      <c r="AB230" s="6"/>
    </row>
    <row r="231" spans="1:28" x14ac:dyDescent="0.2">
      <c r="A231" s="3"/>
      <c r="B231" s="3"/>
      <c r="C231" s="3"/>
      <c r="D231" s="3"/>
      <c r="E231" s="3"/>
      <c r="F231" s="3"/>
      <c r="G231" s="3"/>
      <c r="H231" s="3"/>
      <c r="I231" s="3"/>
      <c r="J231" s="3"/>
      <c r="K231" s="3"/>
      <c r="L231" s="3"/>
      <c r="M231" s="3"/>
      <c r="N231" s="3"/>
      <c r="O231" s="10"/>
      <c r="P231" s="3"/>
      <c r="Q231" s="3"/>
      <c r="R231" s="3"/>
      <c r="S231" s="4"/>
      <c r="U231" s="4"/>
      <c r="V231" s="6"/>
      <c r="W231" s="4"/>
      <c r="AB231" s="6"/>
    </row>
    <row r="232" spans="1:28" x14ac:dyDescent="0.2">
      <c r="A232" s="3"/>
      <c r="B232" s="3"/>
      <c r="C232" s="3"/>
      <c r="D232" s="3"/>
      <c r="E232" s="3"/>
      <c r="F232" s="3"/>
      <c r="G232" s="3"/>
      <c r="H232" s="3"/>
      <c r="I232" s="3"/>
      <c r="J232" s="3"/>
      <c r="K232" s="3"/>
      <c r="L232" s="3"/>
      <c r="M232" s="3"/>
      <c r="N232" s="3"/>
      <c r="O232" s="10"/>
      <c r="P232" s="3"/>
      <c r="Q232" s="3"/>
      <c r="R232" s="3"/>
      <c r="S232" s="4"/>
      <c r="U232" s="4"/>
      <c r="V232" s="6"/>
      <c r="W232" s="4"/>
      <c r="AB232" s="6"/>
    </row>
    <row r="233" spans="1:28" x14ac:dyDescent="0.2">
      <c r="A233" s="3"/>
      <c r="B233" s="3"/>
      <c r="C233" s="3"/>
      <c r="D233" s="3"/>
      <c r="E233" s="3"/>
      <c r="F233" s="3"/>
      <c r="G233" s="3"/>
      <c r="H233" s="3"/>
      <c r="I233" s="3"/>
      <c r="J233" s="3"/>
      <c r="K233" s="3"/>
      <c r="L233" s="3"/>
      <c r="M233" s="3"/>
      <c r="N233" s="3"/>
      <c r="O233" s="10"/>
      <c r="P233" s="3"/>
      <c r="Q233" s="3"/>
      <c r="R233" s="3"/>
      <c r="S233" s="4"/>
      <c r="U233" s="4"/>
      <c r="V233" s="6"/>
      <c r="W233" s="4"/>
      <c r="AB233" s="6"/>
    </row>
    <row r="234" spans="1:28" x14ac:dyDescent="0.2">
      <c r="A234" s="3"/>
      <c r="B234" s="3"/>
      <c r="C234" s="3"/>
      <c r="D234" s="3"/>
      <c r="E234" s="3"/>
      <c r="F234" s="3"/>
      <c r="G234" s="3"/>
      <c r="H234" s="3"/>
      <c r="I234" s="3"/>
      <c r="J234" s="3"/>
      <c r="K234" s="3"/>
      <c r="L234" s="3"/>
      <c r="M234" s="3"/>
      <c r="N234" s="3"/>
      <c r="O234" s="10"/>
      <c r="P234" s="3"/>
      <c r="Q234" s="3"/>
      <c r="R234" s="3"/>
      <c r="S234" s="4"/>
      <c r="U234" s="4"/>
      <c r="V234" s="6"/>
      <c r="W234" s="4"/>
      <c r="AB234" s="6"/>
    </row>
    <row r="235" spans="1:28" x14ac:dyDescent="0.2">
      <c r="A235" s="3"/>
      <c r="B235" s="3"/>
      <c r="C235" s="3"/>
      <c r="D235" s="3"/>
      <c r="E235" s="3"/>
      <c r="F235" s="3"/>
      <c r="G235" s="3"/>
      <c r="H235" s="3"/>
      <c r="I235" s="3"/>
      <c r="J235" s="3"/>
      <c r="K235" s="3"/>
      <c r="L235" s="3"/>
      <c r="M235" s="3"/>
      <c r="N235" s="3"/>
      <c r="O235" s="10"/>
      <c r="P235" s="3"/>
      <c r="Q235" s="3"/>
      <c r="R235" s="3"/>
      <c r="S235" s="4"/>
      <c r="U235" s="4"/>
      <c r="V235" s="6"/>
      <c r="W235" s="4"/>
      <c r="AB235" s="6"/>
    </row>
    <row r="236" spans="1:28" x14ac:dyDescent="0.2">
      <c r="A236" s="3"/>
      <c r="B236" s="3"/>
      <c r="C236" s="3"/>
      <c r="D236" s="3"/>
      <c r="E236" s="3"/>
      <c r="F236" s="3"/>
      <c r="G236" s="3"/>
      <c r="H236" s="3"/>
      <c r="I236" s="3"/>
      <c r="J236" s="3"/>
      <c r="K236" s="3"/>
      <c r="L236" s="3"/>
      <c r="M236" s="3"/>
      <c r="N236" s="3"/>
      <c r="O236" s="10"/>
      <c r="P236" s="3"/>
      <c r="Q236" s="3"/>
      <c r="R236" s="3"/>
      <c r="S236" s="4"/>
      <c r="U236" s="4"/>
      <c r="V236" s="6"/>
      <c r="W236" s="4"/>
      <c r="AB236" s="6"/>
    </row>
    <row r="237" spans="1:28" x14ac:dyDescent="0.2">
      <c r="A237" s="3"/>
      <c r="B237" s="3"/>
      <c r="C237" s="3"/>
      <c r="D237" s="3"/>
      <c r="E237" s="3"/>
      <c r="F237" s="3"/>
      <c r="G237" s="3"/>
      <c r="H237" s="3"/>
      <c r="I237" s="3"/>
      <c r="J237" s="3"/>
      <c r="K237" s="3"/>
      <c r="L237" s="3"/>
      <c r="M237" s="3"/>
      <c r="N237" s="3"/>
      <c r="O237" s="10"/>
      <c r="P237" s="3"/>
      <c r="Q237" s="3"/>
      <c r="R237" s="3"/>
      <c r="S237" s="4"/>
      <c r="U237" s="4"/>
      <c r="V237" s="6"/>
      <c r="W237" s="4"/>
      <c r="AB237" s="6"/>
    </row>
    <row r="238" spans="1:28" x14ac:dyDescent="0.2">
      <c r="A238" s="3"/>
      <c r="B238" s="3"/>
      <c r="C238" s="3"/>
      <c r="D238" s="3"/>
      <c r="E238" s="3"/>
      <c r="F238" s="3"/>
      <c r="G238" s="3"/>
      <c r="H238" s="3"/>
      <c r="I238" s="3"/>
      <c r="J238" s="3"/>
      <c r="K238" s="3"/>
      <c r="L238" s="3"/>
      <c r="M238" s="3"/>
      <c r="N238" s="3"/>
      <c r="O238" s="10"/>
      <c r="P238" s="3"/>
      <c r="Q238" s="3"/>
      <c r="R238" s="3"/>
      <c r="S238" s="4"/>
      <c r="U238" s="4"/>
      <c r="V238" s="6"/>
      <c r="W238" s="4"/>
      <c r="AB238" s="6"/>
    </row>
    <row r="239" spans="1:28" x14ac:dyDescent="0.2">
      <c r="A239" s="3"/>
      <c r="B239" s="3"/>
      <c r="C239" s="3"/>
      <c r="D239" s="3"/>
      <c r="E239" s="3"/>
      <c r="F239" s="3"/>
      <c r="G239" s="3"/>
      <c r="H239" s="3"/>
      <c r="I239" s="3"/>
      <c r="J239" s="3"/>
      <c r="K239" s="3"/>
      <c r="L239" s="3"/>
      <c r="M239" s="3"/>
      <c r="N239" s="3"/>
      <c r="O239" s="10"/>
      <c r="P239" s="3"/>
      <c r="Q239" s="3"/>
      <c r="R239" s="3"/>
      <c r="S239" s="4"/>
      <c r="U239" s="4"/>
      <c r="V239" s="6"/>
      <c r="W239" s="4"/>
      <c r="AB239" s="6"/>
    </row>
    <row r="240" spans="1:28" x14ac:dyDescent="0.2">
      <c r="A240" s="3"/>
      <c r="B240" s="3"/>
      <c r="C240" s="3"/>
      <c r="D240" s="3"/>
      <c r="E240" s="3"/>
      <c r="F240" s="3"/>
      <c r="G240" s="3"/>
      <c r="H240" s="3"/>
      <c r="I240" s="3"/>
      <c r="J240" s="3"/>
      <c r="K240" s="3"/>
      <c r="L240" s="3"/>
      <c r="M240" s="3"/>
      <c r="N240" s="3"/>
      <c r="O240" s="10"/>
      <c r="P240" s="3"/>
      <c r="Q240" s="3"/>
      <c r="R240" s="3"/>
      <c r="S240" s="4"/>
      <c r="U240" s="4"/>
      <c r="V240" s="6"/>
      <c r="W240" s="4"/>
      <c r="AB240" s="6"/>
    </row>
    <row r="241" spans="1:28" x14ac:dyDescent="0.2">
      <c r="A241" s="3"/>
      <c r="B241" s="3"/>
      <c r="C241" s="3"/>
      <c r="D241" s="3"/>
      <c r="E241" s="3"/>
      <c r="F241" s="3"/>
      <c r="G241" s="3"/>
      <c r="H241" s="3"/>
      <c r="I241" s="3"/>
      <c r="J241" s="3"/>
      <c r="K241" s="3"/>
      <c r="L241" s="3"/>
      <c r="M241" s="3"/>
      <c r="N241" s="3"/>
      <c r="O241" s="10"/>
      <c r="P241" s="3"/>
      <c r="Q241" s="3"/>
      <c r="R241" s="3"/>
      <c r="S241" s="4"/>
      <c r="U241" s="4"/>
      <c r="V241" s="6"/>
      <c r="W241" s="4"/>
      <c r="AB241" s="6"/>
    </row>
    <row r="242" spans="1:28" x14ac:dyDescent="0.2">
      <c r="A242" s="3"/>
      <c r="B242" s="3"/>
      <c r="C242" s="3"/>
      <c r="D242" s="3"/>
      <c r="E242" s="3"/>
      <c r="F242" s="3"/>
      <c r="G242" s="3"/>
      <c r="H242" s="3"/>
      <c r="I242" s="3"/>
      <c r="J242" s="3"/>
      <c r="K242" s="3"/>
      <c r="L242" s="3"/>
      <c r="M242" s="3"/>
      <c r="N242" s="3"/>
      <c r="O242" s="10"/>
      <c r="P242" s="3"/>
      <c r="Q242" s="3"/>
      <c r="R242" s="3"/>
      <c r="S242" s="4"/>
      <c r="U242" s="4"/>
      <c r="V242" s="6"/>
      <c r="W242" s="4"/>
      <c r="AB242" s="6"/>
    </row>
    <row r="243" spans="1:28" x14ac:dyDescent="0.2">
      <c r="A243" s="3"/>
      <c r="B243" s="3"/>
      <c r="C243" s="3"/>
      <c r="D243" s="3"/>
      <c r="E243" s="3"/>
      <c r="F243" s="3"/>
      <c r="G243" s="3"/>
      <c r="H243" s="3"/>
      <c r="I243" s="3"/>
      <c r="J243" s="3"/>
      <c r="K243" s="3"/>
      <c r="L243" s="3"/>
      <c r="M243" s="3"/>
      <c r="N243" s="3"/>
      <c r="O243" s="10"/>
      <c r="P243" s="3"/>
      <c r="Q243" s="3"/>
      <c r="R243" s="3"/>
      <c r="S243" s="4"/>
      <c r="U243" s="4"/>
      <c r="V243" s="6"/>
      <c r="W243" s="4"/>
      <c r="AB243" s="6"/>
    </row>
    <row r="244" spans="1:28" x14ac:dyDescent="0.2">
      <c r="A244" s="3"/>
      <c r="B244" s="3"/>
      <c r="C244" s="3"/>
      <c r="D244" s="3"/>
      <c r="E244" s="3"/>
      <c r="F244" s="3"/>
      <c r="G244" s="3"/>
      <c r="H244" s="3"/>
      <c r="I244" s="3"/>
      <c r="J244" s="3"/>
      <c r="K244" s="3"/>
      <c r="L244" s="3"/>
      <c r="M244" s="3"/>
      <c r="N244" s="3"/>
      <c r="O244" s="10"/>
      <c r="P244" s="3"/>
      <c r="Q244" s="3"/>
      <c r="R244" s="3"/>
      <c r="S244" s="4"/>
      <c r="U244" s="4"/>
      <c r="V244" s="6"/>
      <c r="W244" s="4"/>
      <c r="AB244" s="6"/>
    </row>
    <row r="245" spans="1:28" x14ac:dyDescent="0.2">
      <c r="A245" s="3"/>
      <c r="B245" s="3"/>
      <c r="C245" s="3"/>
      <c r="D245" s="3"/>
      <c r="E245" s="3"/>
      <c r="F245" s="3"/>
      <c r="G245" s="3"/>
      <c r="H245" s="3"/>
      <c r="I245" s="3"/>
      <c r="J245" s="3"/>
      <c r="K245" s="3"/>
      <c r="L245" s="3"/>
      <c r="M245" s="3"/>
      <c r="N245" s="3"/>
      <c r="O245" s="10"/>
      <c r="P245" s="3"/>
      <c r="Q245" s="3"/>
      <c r="R245" s="3"/>
      <c r="S245" s="4"/>
      <c r="U245" s="4"/>
      <c r="V245" s="6"/>
      <c r="W245" s="4"/>
      <c r="AB245" s="6"/>
    </row>
    <row r="246" spans="1:28" x14ac:dyDescent="0.2">
      <c r="A246" s="3"/>
      <c r="B246" s="3"/>
      <c r="C246" s="3"/>
      <c r="D246" s="3"/>
      <c r="E246" s="3"/>
      <c r="F246" s="3"/>
      <c r="G246" s="3"/>
      <c r="H246" s="3"/>
      <c r="I246" s="3"/>
      <c r="J246" s="3"/>
      <c r="K246" s="3"/>
      <c r="L246" s="3"/>
      <c r="M246" s="3"/>
      <c r="N246" s="3"/>
      <c r="O246" s="10"/>
      <c r="P246" s="3"/>
      <c r="Q246" s="3"/>
      <c r="R246" s="3"/>
      <c r="S246" s="4"/>
      <c r="U246" s="4"/>
      <c r="V246" s="6"/>
      <c r="W246" s="4"/>
      <c r="AB246" s="6"/>
    </row>
    <row r="247" spans="1:28" x14ac:dyDescent="0.2">
      <c r="A247" s="3"/>
      <c r="B247" s="3"/>
      <c r="C247" s="3"/>
      <c r="D247" s="3"/>
      <c r="E247" s="3"/>
      <c r="F247" s="3"/>
      <c r="G247" s="3"/>
      <c r="H247" s="3"/>
      <c r="I247" s="3"/>
      <c r="J247" s="3"/>
      <c r="K247" s="3"/>
      <c r="L247" s="3"/>
      <c r="M247" s="3"/>
      <c r="N247" s="3"/>
      <c r="O247" s="10"/>
      <c r="P247" s="3"/>
      <c r="Q247" s="3"/>
      <c r="R247" s="3"/>
      <c r="S247" s="4"/>
      <c r="U247" s="4"/>
      <c r="V247" s="6"/>
      <c r="W247" s="4"/>
      <c r="AB247" s="6"/>
    </row>
    <row r="248" spans="1:28" x14ac:dyDescent="0.2">
      <c r="A248" s="3"/>
      <c r="B248" s="3"/>
      <c r="C248" s="3"/>
      <c r="D248" s="3"/>
      <c r="E248" s="3"/>
      <c r="F248" s="3"/>
      <c r="G248" s="3"/>
      <c r="H248" s="3"/>
      <c r="I248" s="3"/>
      <c r="J248" s="3"/>
      <c r="K248" s="3"/>
      <c r="L248" s="3"/>
      <c r="M248" s="3"/>
      <c r="N248" s="3"/>
      <c r="O248" s="10"/>
      <c r="P248" s="3"/>
      <c r="Q248" s="3"/>
      <c r="R248" s="3"/>
      <c r="S248" s="4"/>
      <c r="U248" s="4"/>
      <c r="V248" s="6"/>
      <c r="W248" s="4"/>
      <c r="AB248" s="6"/>
    </row>
    <row r="249" spans="1:28" x14ac:dyDescent="0.2">
      <c r="A249" s="3"/>
      <c r="B249" s="3"/>
      <c r="C249" s="3"/>
      <c r="D249" s="3"/>
      <c r="E249" s="3"/>
      <c r="F249" s="3"/>
      <c r="G249" s="3"/>
      <c r="H249" s="3"/>
      <c r="I249" s="3"/>
      <c r="J249" s="3"/>
      <c r="K249" s="3"/>
      <c r="L249" s="3"/>
      <c r="M249" s="3"/>
      <c r="N249" s="3"/>
      <c r="O249" s="10"/>
      <c r="P249" s="3"/>
      <c r="Q249" s="3"/>
      <c r="R249" s="3"/>
      <c r="S249" s="4"/>
      <c r="U249" s="4"/>
      <c r="V249" s="6"/>
      <c r="W249" s="4"/>
      <c r="AB249" s="6"/>
    </row>
    <row r="250" spans="1:28" x14ac:dyDescent="0.2">
      <c r="A250" s="3"/>
      <c r="B250" s="3"/>
      <c r="C250" s="3"/>
      <c r="D250" s="3"/>
      <c r="E250" s="3"/>
      <c r="F250" s="3"/>
      <c r="G250" s="3"/>
      <c r="H250" s="3"/>
      <c r="I250" s="3"/>
      <c r="J250" s="3"/>
      <c r="K250" s="3"/>
      <c r="L250" s="3"/>
      <c r="M250" s="3"/>
      <c r="N250" s="3"/>
      <c r="O250" s="10"/>
      <c r="P250" s="3"/>
      <c r="Q250" s="3"/>
      <c r="R250" s="3"/>
      <c r="S250" s="4"/>
      <c r="U250" s="4"/>
      <c r="V250" s="6"/>
      <c r="W250" s="4"/>
      <c r="AB250" s="6"/>
    </row>
    <row r="251" spans="1:28" x14ac:dyDescent="0.2">
      <c r="A251" s="3"/>
      <c r="B251" s="3"/>
      <c r="C251" s="3"/>
      <c r="D251" s="3"/>
      <c r="E251" s="3"/>
      <c r="F251" s="3"/>
      <c r="G251" s="3"/>
      <c r="H251" s="3"/>
      <c r="I251" s="3"/>
      <c r="J251" s="3"/>
      <c r="K251" s="3"/>
      <c r="L251" s="3"/>
      <c r="M251" s="3"/>
      <c r="N251" s="3"/>
      <c r="O251" s="10"/>
      <c r="P251" s="3"/>
      <c r="Q251" s="3"/>
      <c r="R251" s="3"/>
      <c r="S251" s="4"/>
      <c r="U251" s="4"/>
      <c r="V251" s="6"/>
      <c r="W251" s="4"/>
      <c r="AB251" s="6"/>
    </row>
    <row r="252" spans="1:28" x14ac:dyDescent="0.2">
      <c r="A252" s="3"/>
      <c r="B252" s="3"/>
      <c r="C252" s="3"/>
      <c r="D252" s="3"/>
      <c r="E252" s="3"/>
      <c r="F252" s="3"/>
      <c r="G252" s="3"/>
      <c r="H252" s="3"/>
      <c r="I252" s="3"/>
      <c r="J252" s="3"/>
      <c r="K252" s="3"/>
      <c r="L252" s="3"/>
      <c r="M252" s="3"/>
      <c r="N252" s="3"/>
      <c r="O252" s="10"/>
      <c r="P252" s="3"/>
      <c r="Q252" s="3"/>
      <c r="R252" s="3"/>
      <c r="S252" s="4"/>
      <c r="U252" s="4"/>
      <c r="V252" s="6"/>
      <c r="W252" s="4"/>
      <c r="AB252" s="6"/>
    </row>
    <row r="253" spans="1:28" x14ac:dyDescent="0.2">
      <c r="A253" s="3"/>
      <c r="B253" s="3"/>
      <c r="C253" s="3"/>
      <c r="D253" s="3"/>
      <c r="E253" s="3"/>
      <c r="F253" s="3"/>
      <c r="G253" s="3"/>
      <c r="H253" s="3"/>
      <c r="I253" s="3"/>
      <c r="J253" s="3"/>
      <c r="K253" s="3"/>
      <c r="L253" s="3"/>
      <c r="M253" s="3"/>
      <c r="N253" s="3"/>
      <c r="O253" s="10"/>
      <c r="P253" s="3"/>
      <c r="Q253" s="3"/>
      <c r="R253" s="3"/>
      <c r="S253" s="4"/>
      <c r="U253" s="4"/>
      <c r="V253" s="6"/>
      <c r="W253" s="4"/>
      <c r="AB253" s="6"/>
    </row>
    <row r="254" spans="1:28" x14ac:dyDescent="0.2">
      <c r="A254" s="3"/>
      <c r="B254" s="3"/>
      <c r="C254" s="3"/>
      <c r="D254" s="3"/>
      <c r="E254" s="3"/>
      <c r="F254" s="3"/>
      <c r="G254" s="3"/>
      <c r="H254" s="3"/>
      <c r="I254" s="3"/>
      <c r="J254" s="3"/>
      <c r="K254" s="3"/>
      <c r="L254" s="3"/>
      <c r="M254" s="3"/>
      <c r="N254" s="3"/>
      <c r="O254" s="10"/>
      <c r="P254" s="3"/>
      <c r="Q254" s="3"/>
      <c r="R254" s="3"/>
      <c r="S254" s="4"/>
      <c r="U254" s="4"/>
      <c r="V254" s="6"/>
      <c r="W254" s="4"/>
      <c r="AB254" s="6"/>
    </row>
    <row r="255" spans="1:28" x14ac:dyDescent="0.2">
      <c r="A255" s="3"/>
      <c r="B255" s="3"/>
      <c r="C255" s="3"/>
      <c r="D255" s="3"/>
      <c r="E255" s="3"/>
      <c r="F255" s="3"/>
      <c r="G255" s="3"/>
      <c r="H255" s="3"/>
      <c r="I255" s="3"/>
      <c r="J255" s="3"/>
      <c r="K255" s="3"/>
      <c r="L255" s="3"/>
      <c r="M255" s="3"/>
      <c r="N255" s="3"/>
      <c r="O255" s="10"/>
      <c r="P255" s="3"/>
      <c r="Q255" s="3"/>
      <c r="R255" s="3"/>
      <c r="S255" s="4"/>
      <c r="U255" s="4"/>
      <c r="V255" s="6"/>
      <c r="W255" s="4"/>
      <c r="AB255" s="6"/>
    </row>
    <row r="256" spans="1:28" x14ac:dyDescent="0.2">
      <c r="A256" s="3"/>
      <c r="B256" s="3"/>
      <c r="C256" s="3"/>
      <c r="D256" s="3"/>
      <c r="E256" s="3"/>
      <c r="F256" s="3"/>
      <c r="G256" s="3"/>
      <c r="H256" s="3"/>
      <c r="I256" s="3"/>
      <c r="J256" s="3"/>
      <c r="K256" s="3"/>
      <c r="L256" s="3"/>
      <c r="M256" s="3"/>
      <c r="N256" s="3"/>
      <c r="O256" s="10"/>
      <c r="P256" s="3"/>
      <c r="Q256" s="3"/>
      <c r="R256" s="3"/>
      <c r="S256" s="4"/>
      <c r="U256" s="4"/>
      <c r="V256" s="6"/>
      <c r="W256" s="4"/>
      <c r="AB256" s="6"/>
    </row>
    <row r="257" spans="1:28" x14ac:dyDescent="0.2">
      <c r="A257" s="3"/>
      <c r="B257" s="3"/>
      <c r="C257" s="3"/>
      <c r="D257" s="3"/>
      <c r="E257" s="3"/>
      <c r="F257" s="3"/>
      <c r="G257" s="3"/>
      <c r="H257" s="3"/>
      <c r="I257" s="3"/>
      <c r="J257" s="3"/>
      <c r="K257" s="3"/>
      <c r="L257" s="3"/>
      <c r="M257" s="3"/>
      <c r="N257" s="3"/>
      <c r="O257" s="10"/>
      <c r="P257" s="3"/>
      <c r="Q257" s="3"/>
      <c r="R257" s="3"/>
      <c r="S257" s="4"/>
      <c r="U257" s="4"/>
      <c r="V257" s="6"/>
      <c r="W257" s="4"/>
      <c r="AB257" s="6"/>
    </row>
    <row r="258" spans="1:28" x14ac:dyDescent="0.2">
      <c r="A258" s="3"/>
      <c r="B258" s="3"/>
      <c r="C258" s="3"/>
      <c r="D258" s="3"/>
      <c r="E258" s="4"/>
      <c r="F258" s="4"/>
      <c r="G258" s="4"/>
      <c r="H258" s="4"/>
      <c r="I258" s="4"/>
      <c r="J258" s="4"/>
      <c r="K258" s="4"/>
      <c r="L258" s="4"/>
      <c r="M258" s="4"/>
      <c r="N258" s="4"/>
      <c r="O258" s="10"/>
      <c r="P258" s="4"/>
      <c r="Q258" s="4"/>
      <c r="R258" s="4"/>
      <c r="S258" s="4"/>
      <c r="U258" s="4"/>
      <c r="V258" s="6"/>
      <c r="W258" s="4"/>
      <c r="AB258" s="6"/>
    </row>
    <row r="259" spans="1:28" x14ac:dyDescent="0.2">
      <c r="A259" s="4"/>
      <c r="B259" s="4"/>
      <c r="C259" s="4"/>
      <c r="D259" s="4"/>
      <c r="E259" s="4"/>
      <c r="F259" s="4"/>
      <c r="G259" s="4"/>
      <c r="H259" s="4"/>
      <c r="I259" s="4"/>
      <c r="J259" s="4"/>
      <c r="K259" s="4"/>
      <c r="L259" s="4"/>
      <c r="M259" s="4"/>
      <c r="N259" s="4"/>
      <c r="O259" s="10"/>
      <c r="P259" s="4"/>
      <c r="Q259" s="4"/>
      <c r="R259" s="4"/>
      <c r="S259" s="4"/>
      <c r="U259" s="4"/>
      <c r="V259" s="6"/>
      <c r="W259" s="4"/>
      <c r="AB259" s="6"/>
    </row>
    <row r="260" spans="1:28" x14ac:dyDescent="0.2">
      <c r="A260" s="4"/>
      <c r="B260" s="4"/>
      <c r="C260" s="4"/>
      <c r="D260" s="4"/>
      <c r="E260" s="4"/>
      <c r="F260" s="4"/>
      <c r="G260" s="4"/>
      <c r="H260" s="4"/>
      <c r="I260" s="4"/>
      <c r="J260" s="4"/>
      <c r="K260" s="4"/>
      <c r="L260" s="4"/>
      <c r="M260" s="4"/>
      <c r="N260" s="4"/>
      <c r="O260" s="10"/>
      <c r="P260" s="4"/>
      <c r="Q260" s="4"/>
      <c r="R260" s="4"/>
      <c r="S260" s="4"/>
      <c r="U260" s="4"/>
      <c r="V260" s="6"/>
      <c r="W260" s="4"/>
      <c r="AB260" s="6"/>
    </row>
    <row r="261" spans="1:28" x14ac:dyDescent="0.2">
      <c r="A261" s="4"/>
      <c r="B261" s="4"/>
      <c r="C261" s="4"/>
      <c r="D261" s="4"/>
      <c r="E261" s="4"/>
      <c r="F261" s="4"/>
      <c r="G261" s="4"/>
      <c r="H261" s="4"/>
      <c r="I261" s="4"/>
      <c r="J261" s="4"/>
      <c r="K261" s="4"/>
      <c r="L261" s="4"/>
      <c r="M261" s="4"/>
      <c r="N261" s="4"/>
      <c r="O261" s="10"/>
      <c r="P261" s="4"/>
      <c r="Q261" s="4"/>
      <c r="R261" s="4"/>
      <c r="S261" s="4"/>
      <c r="U261" s="4"/>
      <c r="V261" s="6"/>
      <c r="W261" s="4"/>
      <c r="AB261" s="6"/>
    </row>
    <row r="262" spans="1:28" x14ac:dyDescent="0.2">
      <c r="A262" s="4"/>
      <c r="B262" s="4"/>
      <c r="C262" s="4"/>
      <c r="D262" s="4"/>
      <c r="E262" s="4"/>
      <c r="F262" s="4"/>
      <c r="G262" s="4"/>
      <c r="H262" s="4"/>
      <c r="I262" s="4"/>
      <c r="J262" s="4"/>
      <c r="K262" s="4"/>
      <c r="L262" s="4"/>
      <c r="M262" s="4"/>
      <c r="N262" s="4"/>
      <c r="O262" s="10"/>
      <c r="P262" s="4"/>
      <c r="Q262" s="4"/>
      <c r="R262" s="4"/>
      <c r="S262" s="4"/>
      <c r="U262" s="4"/>
      <c r="V262" s="6"/>
      <c r="W262" s="4"/>
      <c r="AB262" s="6"/>
    </row>
    <row r="263" spans="1:28" x14ac:dyDescent="0.2">
      <c r="A263" s="4"/>
      <c r="B263" s="4"/>
      <c r="C263" s="4"/>
      <c r="D263" s="4"/>
      <c r="E263" s="4"/>
      <c r="F263" s="4"/>
      <c r="G263" s="4"/>
      <c r="H263" s="4"/>
      <c r="I263" s="4"/>
      <c r="J263" s="4"/>
      <c r="K263" s="4"/>
      <c r="L263" s="4"/>
      <c r="M263" s="4"/>
      <c r="N263" s="4"/>
      <c r="O263" s="10"/>
      <c r="P263" s="4"/>
      <c r="Q263" s="4"/>
      <c r="R263" s="4"/>
      <c r="S263" s="4"/>
      <c r="U263" s="4"/>
      <c r="V263" s="6"/>
      <c r="W263" s="4"/>
      <c r="AB263" s="6"/>
    </row>
    <row r="264" spans="1:28" x14ac:dyDescent="0.2">
      <c r="A264" s="4"/>
      <c r="B264" s="4"/>
      <c r="C264" s="4"/>
      <c r="D264" s="4"/>
      <c r="E264" s="4"/>
      <c r="F264" s="4"/>
      <c r="G264" s="4"/>
      <c r="H264" s="4"/>
      <c r="I264" s="4"/>
      <c r="J264" s="4"/>
      <c r="K264" s="4"/>
      <c r="L264" s="4"/>
      <c r="M264" s="4"/>
      <c r="N264" s="4"/>
      <c r="O264" s="10"/>
      <c r="P264" s="4"/>
      <c r="Q264" s="4"/>
      <c r="R264" s="4"/>
      <c r="S264" s="4"/>
      <c r="U264" s="4"/>
      <c r="V264" s="6"/>
      <c r="W264" s="4"/>
      <c r="AB264" s="6"/>
    </row>
    <row r="265" spans="1:28" x14ac:dyDescent="0.2">
      <c r="A265" s="4"/>
      <c r="B265" s="4"/>
      <c r="C265" s="4"/>
      <c r="D265" s="4"/>
      <c r="E265" s="4"/>
      <c r="F265" s="4"/>
      <c r="G265" s="4"/>
      <c r="H265" s="4"/>
      <c r="I265" s="4"/>
      <c r="J265" s="4"/>
      <c r="K265" s="4"/>
      <c r="L265" s="4"/>
      <c r="M265" s="4"/>
      <c r="N265" s="4"/>
      <c r="O265" s="4"/>
      <c r="P265" s="4"/>
      <c r="Q265" s="4"/>
      <c r="R265" s="4"/>
      <c r="S265" s="4"/>
      <c r="U265" s="4"/>
      <c r="V265" s="6"/>
      <c r="W265" s="4"/>
      <c r="AB265" s="6"/>
    </row>
    <row r="266" spans="1:28" x14ac:dyDescent="0.2">
      <c r="A266" s="4"/>
      <c r="B266" s="4"/>
      <c r="C266" s="4"/>
      <c r="D266" s="4"/>
      <c r="E266" s="4"/>
      <c r="F266" s="4"/>
      <c r="G266" s="4"/>
      <c r="H266" s="4"/>
      <c r="I266" s="4"/>
      <c r="J266" s="4"/>
      <c r="K266" s="4"/>
      <c r="L266" s="4"/>
      <c r="M266" s="4"/>
      <c r="N266" s="4"/>
      <c r="O266" s="4"/>
      <c r="P266" s="4"/>
      <c r="Q266" s="4"/>
      <c r="R266" s="4"/>
      <c r="S266" s="4"/>
      <c r="U266" s="4"/>
      <c r="V266" s="6"/>
      <c r="W266" s="4"/>
      <c r="AB266" s="6"/>
    </row>
    <row r="267" spans="1:28" x14ac:dyDescent="0.2">
      <c r="A267" s="4"/>
      <c r="B267" s="4"/>
      <c r="C267" s="4"/>
      <c r="D267" s="4"/>
      <c r="E267" s="4"/>
      <c r="F267" s="4"/>
      <c r="G267" s="4"/>
      <c r="H267" s="4"/>
      <c r="I267" s="4"/>
      <c r="J267" s="4"/>
      <c r="K267" s="4"/>
      <c r="L267" s="4"/>
      <c r="M267" s="4"/>
      <c r="N267" s="4"/>
      <c r="O267" s="4"/>
      <c r="P267" s="4"/>
      <c r="Q267" s="4"/>
      <c r="R267" s="4"/>
      <c r="S267" s="4"/>
      <c r="U267" s="4"/>
      <c r="V267" s="6"/>
      <c r="W267" s="4"/>
      <c r="AB267" s="6"/>
    </row>
    <row r="268" spans="1:28" x14ac:dyDescent="0.2">
      <c r="A268" s="4"/>
      <c r="B268" s="4"/>
      <c r="C268" s="4"/>
      <c r="D268" s="4"/>
      <c r="E268" s="4"/>
      <c r="F268" s="4"/>
      <c r="G268" s="4"/>
      <c r="H268" s="4"/>
      <c r="I268" s="4"/>
      <c r="J268" s="4"/>
      <c r="K268" s="4"/>
      <c r="L268" s="4"/>
      <c r="M268" s="4"/>
      <c r="N268" s="4"/>
      <c r="O268" s="4"/>
      <c r="P268" s="4"/>
      <c r="Q268" s="4"/>
      <c r="R268" s="4"/>
      <c r="S268" s="4"/>
      <c r="U268" s="4"/>
      <c r="V268" s="6"/>
      <c r="W268" s="4"/>
      <c r="AB268" s="6"/>
    </row>
    <row r="269" spans="1:28" x14ac:dyDescent="0.2">
      <c r="A269" s="4"/>
      <c r="B269" s="4"/>
      <c r="C269" s="4"/>
      <c r="D269" s="4"/>
      <c r="E269" s="4"/>
      <c r="F269" s="4"/>
      <c r="G269" s="4"/>
      <c r="H269" s="4"/>
      <c r="I269" s="4"/>
      <c r="J269" s="4"/>
      <c r="K269" s="4"/>
      <c r="L269" s="4"/>
      <c r="M269" s="4"/>
      <c r="N269" s="4"/>
      <c r="O269" s="4"/>
      <c r="P269" s="4"/>
      <c r="Q269" s="4"/>
      <c r="R269" s="4"/>
      <c r="S269" s="4"/>
      <c r="U269" s="4"/>
      <c r="V269" s="6"/>
      <c r="W269" s="4"/>
      <c r="AB269" s="6"/>
    </row>
    <row r="270" spans="1:28" x14ac:dyDescent="0.2">
      <c r="A270" s="4"/>
      <c r="B270" s="4"/>
      <c r="C270" s="4"/>
      <c r="D270" s="4"/>
      <c r="E270" s="4"/>
      <c r="F270" s="4"/>
      <c r="G270" s="4"/>
      <c r="H270" s="4"/>
      <c r="I270" s="4"/>
      <c r="J270" s="4"/>
      <c r="K270" s="4"/>
      <c r="L270" s="4"/>
      <c r="M270" s="4"/>
      <c r="N270" s="4"/>
      <c r="O270" s="4"/>
      <c r="P270" s="4"/>
      <c r="Q270" s="4"/>
      <c r="R270" s="4"/>
      <c r="S270" s="4"/>
      <c r="U270" s="4"/>
      <c r="V270" s="6"/>
      <c r="W270" s="4"/>
      <c r="AB270" s="6"/>
    </row>
    <row r="271" spans="1:28" x14ac:dyDescent="0.2">
      <c r="A271" s="4"/>
      <c r="B271" s="4"/>
      <c r="C271" s="4"/>
      <c r="D271" s="4"/>
      <c r="E271" s="4"/>
      <c r="F271" s="4"/>
      <c r="G271" s="4"/>
      <c r="H271" s="4"/>
      <c r="I271" s="4"/>
      <c r="J271" s="4"/>
      <c r="K271" s="4"/>
      <c r="L271" s="4"/>
      <c r="M271" s="4"/>
      <c r="N271" s="4"/>
      <c r="O271" s="4"/>
      <c r="P271" s="4"/>
      <c r="Q271" s="4"/>
      <c r="R271" s="4"/>
      <c r="S271" s="4"/>
      <c r="U271" s="4"/>
      <c r="V271" s="6"/>
      <c r="W271" s="4"/>
      <c r="AB271" s="6"/>
    </row>
    <row r="272" spans="1:28" x14ac:dyDescent="0.2">
      <c r="A272" s="4"/>
      <c r="B272" s="4"/>
      <c r="C272" s="4"/>
      <c r="D272" s="4"/>
      <c r="E272" s="4"/>
      <c r="F272" s="4"/>
      <c r="G272" s="4"/>
      <c r="H272" s="4"/>
      <c r="I272" s="4"/>
      <c r="J272" s="4"/>
      <c r="K272" s="4"/>
      <c r="L272" s="4"/>
      <c r="M272" s="4"/>
      <c r="N272" s="4"/>
      <c r="O272" s="4"/>
      <c r="P272" s="4"/>
      <c r="Q272" s="4"/>
      <c r="R272" s="4"/>
      <c r="S272" s="4"/>
      <c r="U272" s="4"/>
      <c r="V272" s="6"/>
      <c r="W272" s="4"/>
      <c r="AB272" s="6"/>
    </row>
    <row r="273" spans="1:28" x14ac:dyDescent="0.2">
      <c r="A273" s="4"/>
      <c r="B273" s="4"/>
      <c r="C273" s="4"/>
      <c r="D273" s="4"/>
      <c r="E273" s="4"/>
      <c r="F273" s="4"/>
      <c r="G273" s="4"/>
      <c r="H273" s="4"/>
      <c r="I273" s="4"/>
      <c r="J273" s="4"/>
      <c r="K273" s="4"/>
      <c r="L273" s="4"/>
      <c r="M273" s="4"/>
      <c r="N273" s="4"/>
      <c r="O273" s="4"/>
      <c r="P273" s="4"/>
      <c r="Q273" s="4"/>
      <c r="R273" s="4"/>
      <c r="S273" s="4"/>
      <c r="U273" s="4"/>
      <c r="V273" s="6"/>
      <c r="W273" s="4"/>
      <c r="AB273" s="6"/>
    </row>
    <row r="274" spans="1:28" x14ac:dyDescent="0.2">
      <c r="A274" s="4"/>
      <c r="B274" s="4"/>
      <c r="C274" s="4"/>
      <c r="D274" s="4"/>
      <c r="E274" s="4"/>
      <c r="F274" s="4"/>
      <c r="G274" s="4"/>
      <c r="H274" s="4"/>
      <c r="I274" s="4"/>
      <c r="J274" s="4"/>
      <c r="K274" s="4"/>
      <c r="L274" s="4"/>
      <c r="M274" s="4"/>
      <c r="N274" s="4"/>
      <c r="O274" s="4"/>
      <c r="P274" s="4"/>
      <c r="Q274" s="4"/>
      <c r="R274" s="4"/>
      <c r="S274" s="4"/>
      <c r="U274" s="4"/>
      <c r="V274" s="6"/>
      <c r="W274" s="4"/>
      <c r="AB274" s="6"/>
    </row>
    <row r="275" spans="1:28" x14ac:dyDescent="0.2">
      <c r="A275" s="4"/>
      <c r="B275" s="4"/>
      <c r="C275" s="4"/>
      <c r="D275" s="4"/>
      <c r="E275" s="4"/>
      <c r="F275" s="4"/>
      <c r="G275" s="4"/>
      <c r="H275" s="4"/>
      <c r="I275" s="4"/>
      <c r="J275" s="4"/>
      <c r="K275" s="4"/>
      <c r="L275" s="4"/>
      <c r="M275" s="4"/>
      <c r="N275" s="4"/>
      <c r="O275" s="4"/>
      <c r="P275" s="4"/>
      <c r="Q275" s="4"/>
      <c r="R275" s="4"/>
      <c r="S275" s="4"/>
      <c r="U275" s="4"/>
      <c r="V275" s="6"/>
      <c r="W275" s="4"/>
      <c r="AB275" s="6"/>
    </row>
    <row r="276" spans="1:28" x14ac:dyDescent="0.2">
      <c r="A276" s="4"/>
      <c r="B276" s="4"/>
      <c r="C276" s="4"/>
      <c r="D276" s="4"/>
      <c r="E276" s="4"/>
      <c r="F276" s="4"/>
      <c r="G276" s="4"/>
      <c r="H276" s="4"/>
      <c r="I276" s="4"/>
      <c r="J276" s="4"/>
      <c r="K276" s="4"/>
      <c r="L276" s="4"/>
      <c r="M276" s="4"/>
      <c r="N276" s="4"/>
      <c r="O276" s="4"/>
      <c r="P276" s="4"/>
      <c r="Q276" s="4"/>
      <c r="R276" s="4"/>
      <c r="S276" s="4"/>
      <c r="U276" s="4"/>
      <c r="V276" s="6"/>
      <c r="W276" s="4"/>
      <c r="AB276" s="6"/>
    </row>
    <row r="277" spans="1:28" x14ac:dyDescent="0.2">
      <c r="A277" s="4"/>
      <c r="B277" s="4"/>
      <c r="C277" s="4"/>
      <c r="D277" s="4"/>
      <c r="E277" s="4"/>
      <c r="F277" s="4"/>
      <c r="G277" s="4"/>
      <c r="H277" s="4"/>
      <c r="I277" s="4"/>
      <c r="J277" s="4"/>
      <c r="K277" s="4"/>
      <c r="L277" s="4"/>
      <c r="M277" s="4"/>
      <c r="N277" s="4"/>
      <c r="O277" s="4"/>
      <c r="P277" s="4"/>
      <c r="Q277" s="4"/>
      <c r="R277" s="4"/>
      <c r="S277" s="4"/>
      <c r="U277" s="4"/>
      <c r="V277" s="6"/>
      <c r="W277" s="4"/>
      <c r="AB277" s="6"/>
    </row>
    <row r="278" spans="1:28" x14ac:dyDescent="0.2">
      <c r="A278" s="4"/>
      <c r="B278" s="4"/>
      <c r="C278" s="4"/>
      <c r="D278" s="4"/>
      <c r="E278" s="4"/>
      <c r="F278" s="4"/>
      <c r="G278" s="4"/>
      <c r="H278" s="4"/>
      <c r="I278" s="4"/>
      <c r="J278" s="4"/>
      <c r="K278" s="4"/>
      <c r="L278" s="4"/>
      <c r="M278" s="4"/>
      <c r="N278" s="4"/>
      <c r="O278" s="4"/>
      <c r="P278" s="4"/>
      <c r="Q278" s="4"/>
      <c r="R278" s="4"/>
      <c r="S278" s="4"/>
      <c r="U278" s="4"/>
      <c r="V278" s="6"/>
      <c r="W278" s="4"/>
      <c r="AB278" s="6"/>
    </row>
    <row r="279" spans="1:28" x14ac:dyDescent="0.2">
      <c r="A279" s="4"/>
      <c r="B279" s="4"/>
      <c r="C279" s="4"/>
      <c r="D279" s="4"/>
      <c r="E279" s="4"/>
      <c r="F279" s="4"/>
      <c r="G279" s="4"/>
      <c r="H279" s="4"/>
      <c r="I279" s="4"/>
      <c r="J279" s="4"/>
      <c r="K279" s="4"/>
      <c r="L279" s="4"/>
      <c r="M279" s="4"/>
      <c r="N279" s="4"/>
      <c r="O279" s="4"/>
      <c r="P279" s="4"/>
      <c r="Q279" s="4"/>
      <c r="R279" s="4"/>
      <c r="S279" s="4"/>
      <c r="U279" s="4"/>
      <c r="V279" s="6"/>
      <c r="W279" s="4"/>
      <c r="AB279" s="6"/>
    </row>
    <row r="280" spans="1:28" x14ac:dyDescent="0.2">
      <c r="A280" s="4"/>
      <c r="B280" s="4"/>
      <c r="C280" s="4"/>
      <c r="D280" s="4"/>
      <c r="E280" s="4"/>
      <c r="F280" s="4"/>
      <c r="G280" s="4"/>
      <c r="H280" s="4"/>
      <c r="I280" s="4"/>
      <c r="J280" s="4"/>
      <c r="K280" s="4"/>
      <c r="L280" s="4"/>
      <c r="M280" s="4"/>
      <c r="N280" s="4"/>
      <c r="O280" s="4"/>
      <c r="P280" s="4"/>
      <c r="Q280" s="4"/>
      <c r="R280" s="4"/>
      <c r="S280" s="4"/>
      <c r="U280" s="4"/>
      <c r="V280" s="6"/>
      <c r="W280" s="4"/>
      <c r="AB280" s="6"/>
    </row>
    <row r="281" spans="1:28" x14ac:dyDescent="0.2">
      <c r="A281" s="4"/>
      <c r="B281" s="4"/>
      <c r="C281" s="4"/>
      <c r="D281" s="4"/>
      <c r="E281" s="4"/>
      <c r="F281" s="4"/>
      <c r="G281" s="4"/>
      <c r="H281" s="4"/>
      <c r="I281" s="4"/>
      <c r="J281" s="4"/>
      <c r="K281" s="4"/>
      <c r="L281" s="4"/>
      <c r="M281" s="4"/>
      <c r="N281" s="4"/>
      <c r="O281" s="4"/>
      <c r="P281" s="4"/>
      <c r="Q281" s="4"/>
      <c r="R281" s="4"/>
      <c r="S281" s="4"/>
      <c r="U281" s="4"/>
      <c r="V281" s="6"/>
      <c r="W281" s="4"/>
      <c r="AB281" s="6"/>
    </row>
    <row r="282" spans="1:28" x14ac:dyDescent="0.2">
      <c r="A282" s="4"/>
      <c r="B282" s="4"/>
      <c r="C282" s="4"/>
      <c r="D282" s="4"/>
      <c r="E282" s="4"/>
      <c r="F282" s="4"/>
      <c r="G282" s="4"/>
      <c r="H282" s="4"/>
      <c r="I282" s="4"/>
      <c r="J282" s="4"/>
      <c r="K282" s="4"/>
      <c r="L282" s="4"/>
      <c r="M282" s="4"/>
      <c r="N282" s="4"/>
      <c r="O282" s="4"/>
      <c r="P282" s="4"/>
      <c r="Q282" s="4"/>
      <c r="R282" s="4"/>
      <c r="S282" s="4"/>
      <c r="U282" s="4"/>
      <c r="V282" s="6"/>
      <c r="W282" s="4"/>
      <c r="AB282" s="6"/>
    </row>
    <row r="283" spans="1:28" x14ac:dyDescent="0.2">
      <c r="A283" s="4"/>
      <c r="B283" s="4"/>
      <c r="C283" s="4"/>
      <c r="D283" s="4"/>
      <c r="E283" s="4"/>
      <c r="F283" s="4"/>
      <c r="G283" s="4"/>
      <c r="H283" s="4"/>
      <c r="I283" s="4"/>
      <c r="J283" s="4"/>
      <c r="K283" s="4"/>
      <c r="L283" s="4"/>
      <c r="M283" s="4"/>
      <c r="N283" s="4"/>
      <c r="O283" s="4"/>
      <c r="P283" s="4"/>
      <c r="Q283" s="4"/>
      <c r="R283" s="4"/>
      <c r="S283" s="4"/>
      <c r="U283" s="4"/>
      <c r="V283" s="6"/>
      <c r="W283" s="4"/>
      <c r="AB283" s="6"/>
    </row>
    <row r="284" spans="1:28" x14ac:dyDescent="0.2">
      <c r="A284" s="4"/>
      <c r="B284" s="4"/>
      <c r="C284" s="4"/>
      <c r="D284" s="4"/>
      <c r="E284" s="4"/>
      <c r="F284" s="4"/>
      <c r="G284" s="4"/>
      <c r="H284" s="4"/>
      <c r="I284" s="4"/>
      <c r="J284" s="4"/>
      <c r="K284" s="4"/>
      <c r="L284" s="4"/>
      <c r="M284" s="4"/>
      <c r="N284" s="4"/>
      <c r="O284" s="4"/>
      <c r="P284" s="4"/>
      <c r="Q284" s="4"/>
      <c r="R284" s="4"/>
      <c r="S284" s="4"/>
      <c r="U284" s="4"/>
      <c r="V284" s="6"/>
      <c r="W284" s="4"/>
      <c r="AB284" s="6"/>
    </row>
    <row r="285" spans="1:28" x14ac:dyDescent="0.2">
      <c r="A285" s="4"/>
      <c r="B285" s="4"/>
      <c r="C285" s="4"/>
      <c r="D285" s="4"/>
      <c r="E285" s="4"/>
      <c r="F285" s="4"/>
      <c r="G285" s="4"/>
      <c r="H285" s="4"/>
      <c r="I285" s="4"/>
      <c r="J285" s="4"/>
      <c r="K285" s="4"/>
      <c r="L285" s="4"/>
      <c r="M285" s="4"/>
      <c r="N285" s="4"/>
      <c r="O285" s="4"/>
      <c r="P285" s="4"/>
      <c r="Q285" s="4"/>
      <c r="R285" s="4"/>
      <c r="S285" s="4"/>
      <c r="U285" s="4"/>
      <c r="V285" s="6"/>
      <c r="W285" s="4"/>
      <c r="AB285" s="6"/>
    </row>
    <row r="286" spans="1:28" x14ac:dyDescent="0.2">
      <c r="A286" s="4"/>
      <c r="B286" s="4"/>
      <c r="C286" s="4"/>
      <c r="D286" s="4"/>
      <c r="E286" s="4"/>
      <c r="F286" s="4"/>
      <c r="G286" s="4"/>
      <c r="H286" s="4"/>
      <c r="I286" s="4"/>
      <c r="J286" s="4"/>
      <c r="K286" s="4"/>
      <c r="L286" s="4"/>
      <c r="M286" s="4"/>
      <c r="N286" s="4"/>
      <c r="O286" s="4"/>
      <c r="P286" s="4"/>
      <c r="Q286" s="4"/>
      <c r="R286" s="4"/>
      <c r="S286" s="4"/>
      <c r="U286" s="4"/>
      <c r="V286" s="6"/>
      <c r="W286" s="4"/>
      <c r="AB286" s="6"/>
    </row>
    <row r="287" spans="1:28" x14ac:dyDescent="0.2">
      <c r="A287" s="4"/>
      <c r="B287" s="4"/>
      <c r="C287" s="4"/>
      <c r="D287" s="4"/>
      <c r="E287" s="4"/>
      <c r="F287" s="4"/>
      <c r="G287" s="4"/>
      <c r="H287" s="4"/>
      <c r="I287" s="4"/>
      <c r="J287" s="4"/>
      <c r="K287" s="4"/>
      <c r="L287" s="4"/>
      <c r="M287" s="4"/>
      <c r="N287" s="4"/>
      <c r="O287" s="4"/>
      <c r="P287" s="4"/>
      <c r="Q287" s="4"/>
      <c r="R287" s="4"/>
      <c r="S287" s="4"/>
      <c r="U287" s="4"/>
      <c r="V287" s="6"/>
      <c r="W287" s="4"/>
      <c r="AB287" s="6"/>
    </row>
    <row r="288" spans="1:28" x14ac:dyDescent="0.2">
      <c r="A288" s="4"/>
      <c r="B288" s="4"/>
      <c r="C288" s="4"/>
      <c r="D288" s="4"/>
      <c r="E288" s="4"/>
      <c r="F288" s="4"/>
      <c r="G288" s="4"/>
      <c r="H288" s="4"/>
      <c r="I288" s="4"/>
      <c r="J288" s="4"/>
      <c r="K288" s="4"/>
      <c r="L288" s="4"/>
      <c r="M288" s="4"/>
      <c r="N288" s="4"/>
      <c r="O288" s="4"/>
      <c r="P288" s="4"/>
      <c r="Q288" s="4"/>
      <c r="R288" s="4"/>
      <c r="S288" s="4"/>
      <c r="U288" s="4"/>
      <c r="V288" s="6"/>
      <c r="W288" s="4"/>
      <c r="AB288" s="6"/>
    </row>
    <row r="289" spans="1:28" x14ac:dyDescent="0.2">
      <c r="A289" s="4"/>
      <c r="B289" s="4"/>
      <c r="C289" s="4"/>
      <c r="D289" s="4"/>
      <c r="E289" s="4"/>
      <c r="F289" s="4"/>
      <c r="G289" s="4"/>
      <c r="H289" s="4"/>
      <c r="I289" s="4"/>
      <c r="J289" s="4"/>
      <c r="K289" s="4"/>
      <c r="L289" s="4"/>
      <c r="M289" s="4"/>
      <c r="N289" s="4"/>
      <c r="O289" s="4"/>
      <c r="P289" s="4"/>
      <c r="Q289" s="4"/>
      <c r="R289" s="4"/>
      <c r="S289" s="4"/>
      <c r="U289" s="4"/>
      <c r="V289" s="6"/>
      <c r="W289" s="4"/>
      <c r="AB289" s="6"/>
    </row>
    <row r="290" spans="1:28" x14ac:dyDescent="0.2">
      <c r="A290" s="4"/>
      <c r="B290" s="4"/>
      <c r="C290" s="4"/>
      <c r="D290" s="4"/>
      <c r="E290" s="4"/>
      <c r="F290" s="4"/>
      <c r="G290" s="4"/>
      <c r="H290" s="4"/>
      <c r="I290" s="4"/>
      <c r="J290" s="4"/>
      <c r="K290" s="4"/>
      <c r="L290" s="4"/>
      <c r="M290" s="4"/>
      <c r="N290" s="4"/>
      <c r="O290" s="4"/>
      <c r="P290" s="4"/>
      <c r="Q290" s="4"/>
      <c r="R290" s="4"/>
      <c r="S290" s="4"/>
      <c r="U290" s="4"/>
      <c r="V290" s="6"/>
      <c r="W290" s="4"/>
      <c r="AB290" s="6"/>
    </row>
    <row r="291" spans="1:28" x14ac:dyDescent="0.2">
      <c r="A291" s="4"/>
      <c r="B291" s="4"/>
      <c r="C291" s="4"/>
      <c r="D291" s="4"/>
      <c r="U291" s="4"/>
      <c r="V291" s="6"/>
      <c r="W291" s="4"/>
      <c r="AB291" s="6"/>
    </row>
    <row r="292" spans="1:28" x14ac:dyDescent="0.2">
      <c r="U292" s="4"/>
      <c r="V292" s="6"/>
      <c r="W292" s="4"/>
      <c r="AB292" s="6"/>
    </row>
    <row r="293" spans="1:28" x14ac:dyDescent="0.2">
      <c r="U293" s="4"/>
      <c r="V293" s="6"/>
      <c r="W293" s="4"/>
      <c r="AB293" s="6"/>
    </row>
    <row r="294" spans="1:28" x14ac:dyDescent="0.2">
      <c r="U294" s="4"/>
      <c r="V294" s="6"/>
      <c r="W294" s="4"/>
      <c r="AB294" s="6"/>
    </row>
    <row r="295" spans="1:28" x14ac:dyDescent="0.2">
      <c r="U295" s="4"/>
      <c r="V295" s="6"/>
      <c r="W295" s="4"/>
      <c r="AB295" s="6"/>
    </row>
    <row r="296" spans="1:28" x14ac:dyDescent="0.2">
      <c r="U296" s="4"/>
      <c r="V296" s="6"/>
      <c r="W296" s="4"/>
      <c r="AB296" s="6"/>
    </row>
    <row r="297" spans="1:28" x14ac:dyDescent="0.2">
      <c r="U297" s="4"/>
      <c r="V297" s="6"/>
      <c r="W297" s="4"/>
      <c r="AB297" s="6"/>
    </row>
    <row r="298" spans="1:28" x14ac:dyDescent="0.2">
      <c r="U298" s="4"/>
      <c r="V298" s="6"/>
      <c r="W298" s="4"/>
      <c r="AB298" s="6"/>
    </row>
    <row r="299" spans="1:28" x14ac:dyDescent="0.2">
      <c r="U299" s="4"/>
      <c r="V299" s="6"/>
      <c r="W299" s="4"/>
      <c r="AB299" s="6"/>
    </row>
    <row r="300" spans="1:28" x14ac:dyDescent="0.2">
      <c r="U300" s="4"/>
      <c r="V300" s="6"/>
      <c r="W300" s="4"/>
      <c r="AB300" s="6"/>
    </row>
    <row r="301" spans="1:28" x14ac:dyDescent="0.2">
      <c r="U301" s="4"/>
      <c r="V301" s="6"/>
      <c r="W301" s="4"/>
      <c r="AB301" s="6"/>
    </row>
    <row r="302" spans="1:28" x14ac:dyDescent="0.2">
      <c r="U302" s="4"/>
      <c r="V302" s="6"/>
      <c r="W302" s="4"/>
      <c r="AB302" s="6"/>
    </row>
    <row r="303" spans="1:28" x14ac:dyDescent="0.2">
      <c r="U303" s="4"/>
      <c r="V303" s="6"/>
      <c r="W303" s="4"/>
      <c r="AB303" s="6"/>
    </row>
    <row r="304" spans="1:28" x14ac:dyDescent="0.2">
      <c r="U304" s="4"/>
      <c r="V304" s="6"/>
      <c r="W304" s="4"/>
      <c r="AB304" s="6"/>
    </row>
    <row r="305" spans="21:28" x14ac:dyDescent="0.2">
      <c r="U305" s="4"/>
      <c r="V305" s="6"/>
      <c r="W305" s="4"/>
      <c r="AB305" s="6"/>
    </row>
    <row r="306" spans="21:28" x14ac:dyDescent="0.2">
      <c r="U306" s="4"/>
      <c r="V306" s="6"/>
      <c r="W306" s="4"/>
      <c r="AB306" s="6"/>
    </row>
    <row r="307" spans="21:28" x14ac:dyDescent="0.2">
      <c r="U307" s="4"/>
      <c r="V307" s="6"/>
      <c r="W307" s="4"/>
      <c r="AB307" s="6"/>
    </row>
    <row r="308" spans="21:28" x14ac:dyDescent="0.2">
      <c r="U308" s="4"/>
      <c r="V308" s="6"/>
      <c r="W308" s="4"/>
      <c r="AB308" s="6"/>
    </row>
    <row r="309" spans="21:28" x14ac:dyDescent="0.2">
      <c r="U309" s="4"/>
      <c r="V309" s="6"/>
      <c r="W309" s="4"/>
      <c r="AB309" s="6"/>
    </row>
    <row r="310" spans="21:28" x14ac:dyDescent="0.2">
      <c r="U310" s="4"/>
      <c r="V310" s="6"/>
      <c r="W310" s="4"/>
      <c r="AB310" s="6"/>
    </row>
    <row r="311" spans="21:28" x14ac:dyDescent="0.2">
      <c r="U311" s="4"/>
      <c r="V311" s="6"/>
      <c r="W311" s="4"/>
      <c r="AB311" s="6"/>
    </row>
    <row r="312" spans="21:28" x14ac:dyDescent="0.2">
      <c r="U312" s="4"/>
      <c r="V312" s="6"/>
      <c r="W312" s="4"/>
      <c r="AB312" s="6"/>
    </row>
    <row r="313" spans="21:28" x14ac:dyDescent="0.2">
      <c r="U313" s="4"/>
      <c r="V313" s="6"/>
      <c r="W313" s="4"/>
      <c r="AB313" s="6"/>
    </row>
    <row r="314" spans="21:28" x14ac:dyDescent="0.2">
      <c r="U314" s="4"/>
      <c r="V314" s="6"/>
      <c r="W314" s="4"/>
      <c r="AB314" s="6"/>
    </row>
    <row r="315" spans="21:28" x14ac:dyDescent="0.2">
      <c r="U315" s="4"/>
      <c r="V315" s="6"/>
      <c r="W315" s="4"/>
      <c r="AB315" s="6"/>
    </row>
    <row r="316" spans="21:28" x14ac:dyDescent="0.2">
      <c r="U316" s="4"/>
      <c r="V316" s="6"/>
      <c r="W316" s="4"/>
      <c r="AB316" s="6"/>
    </row>
    <row r="317" spans="21:28" x14ac:dyDescent="0.2">
      <c r="U317" s="4"/>
      <c r="V317" s="6"/>
      <c r="W317" s="4"/>
      <c r="AB317" s="6"/>
    </row>
    <row r="318" spans="21:28" x14ac:dyDescent="0.2">
      <c r="U318" s="4"/>
      <c r="V318" s="6"/>
      <c r="W318" s="4"/>
      <c r="AB318" s="6"/>
    </row>
    <row r="319" spans="21:28" x14ac:dyDescent="0.2">
      <c r="U319" s="4"/>
      <c r="V319" s="6"/>
      <c r="W319" s="4"/>
      <c r="AB319" s="6"/>
    </row>
    <row r="320" spans="21:28" x14ac:dyDescent="0.2">
      <c r="U320" s="4"/>
      <c r="V320" s="6"/>
      <c r="W320" s="4"/>
      <c r="AB320" s="6"/>
    </row>
    <row r="321" spans="21:28" x14ac:dyDescent="0.2">
      <c r="U321" s="4"/>
      <c r="V321" s="6"/>
      <c r="W321" s="4"/>
      <c r="AB321" s="6"/>
    </row>
    <row r="322" spans="21:28" x14ac:dyDescent="0.2">
      <c r="U322" s="4"/>
      <c r="V322" s="6"/>
      <c r="W322" s="4"/>
    </row>
    <row r="323" spans="21:28" x14ac:dyDescent="0.2">
      <c r="U323" s="4"/>
      <c r="V323" s="6"/>
      <c r="W323" s="4"/>
    </row>
    <row r="324" spans="21:28" x14ac:dyDescent="0.2">
      <c r="U324" s="4"/>
      <c r="V324" s="6"/>
      <c r="W324" s="4"/>
    </row>
    <row r="325" spans="21:28" x14ac:dyDescent="0.2">
      <c r="U325" s="4"/>
      <c r="V325" s="6"/>
      <c r="W325" s="4"/>
    </row>
    <row r="326" spans="21:28" x14ac:dyDescent="0.2">
      <c r="U326" s="4"/>
      <c r="V326" s="6"/>
      <c r="W326" s="4"/>
    </row>
    <row r="327" spans="21:28" x14ac:dyDescent="0.2">
      <c r="U327" s="4"/>
      <c r="V327" s="6"/>
      <c r="W327" s="4"/>
    </row>
    <row r="328" spans="21:28" x14ac:dyDescent="0.2">
      <c r="U328" s="4"/>
      <c r="V328" s="6"/>
      <c r="W328" s="4"/>
    </row>
    <row r="329" spans="21:28" x14ac:dyDescent="0.2">
      <c r="U329" s="4"/>
      <c r="V329" s="6"/>
      <c r="W329" s="4"/>
    </row>
    <row r="330" spans="21:28" x14ac:dyDescent="0.2">
      <c r="U330" s="4"/>
      <c r="V330" s="6"/>
      <c r="W330" s="4"/>
    </row>
    <row r="331" spans="21:28" x14ac:dyDescent="0.2">
      <c r="U331" s="4"/>
      <c r="V331" s="6"/>
      <c r="W331" s="4"/>
    </row>
    <row r="332" spans="21:28" x14ac:dyDescent="0.2">
      <c r="U332" s="4"/>
      <c r="V332" s="6"/>
      <c r="W332" s="4"/>
    </row>
    <row r="333" spans="21:28" x14ac:dyDescent="0.2">
      <c r="U333" s="4"/>
      <c r="V333" s="6"/>
      <c r="W333" s="4"/>
    </row>
    <row r="334" spans="21:28" x14ac:dyDescent="0.2">
      <c r="U334" s="4"/>
      <c r="V334" s="6"/>
      <c r="W334" s="4"/>
    </row>
    <row r="335" spans="21:28" x14ac:dyDescent="0.2">
      <c r="U335" s="4"/>
      <c r="V335" s="6"/>
      <c r="W335" s="4"/>
    </row>
    <row r="336" spans="21:28" x14ac:dyDescent="0.2">
      <c r="U336" s="4"/>
      <c r="V336" s="6"/>
      <c r="W336" s="4"/>
    </row>
    <row r="337" spans="21:23" x14ac:dyDescent="0.2">
      <c r="U337" s="4"/>
      <c r="V337" s="6"/>
      <c r="W337" s="4"/>
    </row>
    <row r="338" spans="21:23" x14ac:dyDescent="0.2">
      <c r="U338" s="4"/>
      <c r="V338" s="6"/>
      <c r="W338" s="4"/>
    </row>
    <row r="339" spans="21:23" x14ac:dyDescent="0.2">
      <c r="U339" s="4"/>
      <c r="V339" s="6"/>
      <c r="W339" s="4"/>
    </row>
    <row r="340" spans="21:23" x14ac:dyDescent="0.2">
      <c r="U340" s="4"/>
      <c r="V340" s="6"/>
      <c r="W340" s="4"/>
    </row>
    <row r="341" spans="21:23" x14ac:dyDescent="0.2">
      <c r="U341" s="4"/>
      <c r="V341" s="6"/>
      <c r="W341" s="4"/>
    </row>
    <row r="342" spans="21:23" x14ac:dyDescent="0.2">
      <c r="U342" s="4"/>
      <c r="V342" s="6"/>
      <c r="W342" s="4"/>
    </row>
    <row r="343" spans="21:23" x14ac:dyDescent="0.2">
      <c r="U343" s="4"/>
      <c r="V343" s="6"/>
      <c r="W343" s="4"/>
    </row>
    <row r="344" spans="21:23" x14ac:dyDescent="0.2">
      <c r="U344" s="4"/>
      <c r="V344" s="6"/>
      <c r="W344" s="4"/>
    </row>
    <row r="345" spans="21:23" x14ac:dyDescent="0.2">
      <c r="U345" s="4"/>
      <c r="V345" s="6"/>
      <c r="W345" s="4"/>
    </row>
    <row r="346" spans="21:23" x14ac:dyDescent="0.2">
      <c r="U346" s="4"/>
      <c r="V346" s="6"/>
      <c r="W346" s="4"/>
    </row>
    <row r="347" spans="21:23" x14ac:dyDescent="0.2">
      <c r="U347" s="4"/>
      <c r="V347" s="6"/>
      <c r="W347" s="4"/>
    </row>
    <row r="348" spans="21:23" x14ac:dyDescent="0.2">
      <c r="U348" s="4"/>
      <c r="V348" s="6"/>
      <c r="W348" s="4"/>
    </row>
    <row r="349" spans="21:23" x14ac:dyDescent="0.2">
      <c r="U349" s="4"/>
      <c r="V349" s="6"/>
      <c r="W349" s="4"/>
    </row>
    <row r="350" spans="21:23" x14ac:dyDescent="0.2">
      <c r="U350" s="4"/>
      <c r="V350" s="6"/>
      <c r="W350" s="4"/>
    </row>
    <row r="351" spans="21:23" x14ac:dyDescent="0.2">
      <c r="U351" s="4"/>
      <c r="V351" s="6"/>
      <c r="W351" s="4"/>
    </row>
    <row r="352" spans="21:23" x14ac:dyDescent="0.2">
      <c r="U352" s="4"/>
      <c r="V352" s="6"/>
      <c r="W352" s="4"/>
    </row>
    <row r="353" spans="21:23" x14ac:dyDescent="0.2">
      <c r="U353" s="4"/>
      <c r="V353" s="6"/>
      <c r="W353" s="4"/>
    </row>
    <row r="354" spans="21:23" x14ac:dyDescent="0.2">
      <c r="U354" s="4"/>
      <c r="V354" s="6"/>
      <c r="W354" s="4"/>
    </row>
    <row r="355" spans="21:23" x14ac:dyDescent="0.2">
      <c r="U355" s="4"/>
      <c r="V355" s="6"/>
      <c r="W355" s="4"/>
    </row>
    <row r="356" spans="21:23" x14ac:dyDescent="0.2">
      <c r="U356" s="4"/>
      <c r="V356" s="6"/>
      <c r="W356" s="4"/>
    </row>
    <row r="357" spans="21:23" x14ac:dyDescent="0.2">
      <c r="U357" s="4"/>
      <c r="V357" s="6"/>
      <c r="W357" s="4"/>
    </row>
    <row r="358" spans="21:23" x14ac:dyDescent="0.2">
      <c r="U358" s="4"/>
      <c r="V358" s="6"/>
      <c r="W358" s="4"/>
    </row>
    <row r="359" spans="21:23" x14ac:dyDescent="0.2">
      <c r="U359" s="4"/>
      <c r="V359" s="6"/>
      <c r="W359" s="4"/>
    </row>
    <row r="360" spans="21:23" x14ac:dyDescent="0.2">
      <c r="U360" s="4"/>
      <c r="V360" s="6"/>
      <c r="W360" s="4"/>
    </row>
    <row r="361" spans="21:23" x14ac:dyDescent="0.2">
      <c r="U361" s="4"/>
      <c r="V361" s="6"/>
      <c r="W361" s="4"/>
    </row>
    <row r="362" spans="21:23" x14ac:dyDescent="0.2">
      <c r="U362" s="4"/>
      <c r="V362" s="6"/>
      <c r="W362" s="4"/>
    </row>
    <row r="363" spans="21:23" x14ac:dyDescent="0.2">
      <c r="U363" s="4"/>
      <c r="V363" s="6"/>
      <c r="W363" s="4"/>
    </row>
    <row r="364" spans="21:23" x14ac:dyDescent="0.2">
      <c r="U364" s="4"/>
      <c r="V364" s="6"/>
      <c r="W364" s="4"/>
    </row>
    <row r="365" spans="21:23" x14ac:dyDescent="0.2">
      <c r="U365" s="4"/>
      <c r="V365" s="6"/>
      <c r="W365" s="4"/>
    </row>
    <row r="366" spans="21:23" x14ac:dyDescent="0.2">
      <c r="U366" s="4"/>
      <c r="V366" s="6"/>
      <c r="W366" s="4"/>
    </row>
    <row r="367" spans="21:23" x14ac:dyDescent="0.2">
      <c r="U367" s="4"/>
      <c r="V367" s="6"/>
      <c r="W367" s="4"/>
    </row>
    <row r="368" spans="21:23" x14ac:dyDescent="0.2">
      <c r="U368" s="4"/>
      <c r="V368" s="6"/>
      <c r="W368" s="4"/>
    </row>
    <row r="369" spans="21:23" x14ac:dyDescent="0.2">
      <c r="U369" s="4"/>
      <c r="V369" s="6"/>
      <c r="W369" s="4"/>
    </row>
    <row r="370" spans="21:23" x14ac:dyDescent="0.2">
      <c r="U370" s="4"/>
      <c r="V370" s="6"/>
      <c r="W370" s="4"/>
    </row>
    <row r="371" spans="21:23" x14ac:dyDescent="0.2">
      <c r="U371" s="4"/>
      <c r="V371" s="6"/>
      <c r="W371" s="4"/>
    </row>
    <row r="372" spans="21:23" x14ac:dyDescent="0.2">
      <c r="U372" s="4"/>
      <c r="V372" s="6"/>
      <c r="W372" s="4"/>
    </row>
    <row r="373" spans="21:23" x14ac:dyDescent="0.2">
      <c r="U373" s="4"/>
      <c r="V373" s="6"/>
      <c r="W373" s="4"/>
    </row>
    <row r="374" spans="21:23" x14ac:dyDescent="0.2">
      <c r="U374" s="4"/>
      <c r="V374" s="6"/>
      <c r="W374" s="4"/>
    </row>
    <row r="375" spans="21:23" x14ac:dyDescent="0.2">
      <c r="U375" s="4"/>
      <c r="V375" s="6"/>
      <c r="W375" s="4"/>
    </row>
    <row r="376" spans="21:23" x14ac:dyDescent="0.2">
      <c r="U376" s="4"/>
      <c r="V376" s="6"/>
      <c r="W376" s="4"/>
    </row>
    <row r="377" spans="21:23" x14ac:dyDescent="0.2">
      <c r="U377" s="4"/>
      <c r="V377" s="6"/>
      <c r="W377" s="4"/>
    </row>
    <row r="378" spans="21:23" x14ac:dyDescent="0.2">
      <c r="U378" s="4"/>
      <c r="V378" s="6"/>
      <c r="W378" s="4"/>
    </row>
    <row r="379" spans="21:23" x14ac:dyDescent="0.2">
      <c r="U379" s="4"/>
      <c r="V379" s="6"/>
      <c r="W379" s="4"/>
    </row>
    <row r="380" spans="21:23" x14ac:dyDescent="0.2">
      <c r="U380" s="4"/>
      <c r="V380" s="6"/>
      <c r="W380" s="4"/>
    </row>
    <row r="381" spans="21:23" x14ac:dyDescent="0.2">
      <c r="U381" s="4"/>
      <c r="V381" s="6"/>
      <c r="W381" s="4"/>
    </row>
    <row r="382" spans="21:23" x14ac:dyDescent="0.2">
      <c r="U382" s="4"/>
      <c r="V382" s="6"/>
      <c r="W382" s="4"/>
    </row>
    <row r="383" spans="21:23" x14ac:dyDescent="0.2">
      <c r="U383" s="4"/>
      <c r="V383" s="6"/>
      <c r="W383" s="4"/>
    </row>
    <row r="384" spans="21:23" x14ac:dyDescent="0.2">
      <c r="U384" s="4"/>
      <c r="V384" s="4"/>
      <c r="W384" s="4"/>
    </row>
    <row r="385" spans="21:23" x14ac:dyDescent="0.2">
      <c r="U385" s="4"/>
      <c r="V385" s="4"/>
      <c r="W385" s="4"/>
    </row>
    <row r="386" spans="21:23" x14ac:dyDescent="0.2">
      <c r="U386" s="4"/>
      <c r="V386" s="4"/>
      <c r="W386" s="4"/>
    </row>
    <row r="387" spans="21:23" x14ac:dyDescent="0.2">
      <c r="U387" s="4"/>
      <c r="V387" s="4"/>
      <c r="W387" s="4"/>
    </row>
    <row r="388" spans="21:23" x14ac:dyDescent="0.2">
      <c r="U388" s="4"/>
      <c r="V388" s="4"/>
      <c r="W388" s="4"/>
    </row>
    <row r="389" spans="21:23" x14ac:dyDescent="0.2">
      <c r="U389" s="4"/>
      <c r="V389" s="4"/>
      <c r="W389" s="4"/>
    </row>
    <row r="390" spans="21:23" x14ac:dyDescent="0.2">
      <c r="U390" s="4"/>
      <c r="V390" s="4"/>
      <c r="W390" s="4"/>
    </row>
    <row r="391" spans="21:23" x14ac:dyDescent="0.2">
      <c r="U391" s="4"/>
      <c r="V391" s="4"/>
      <c r="W391" s="4"/>
    </row>
    <row r="392" spans="21:23" x14ac:dyDescent="0.2">
      <c r="U392" s="4"/>
      <c r="V392" s="4"/>
      <c r="W392" s="4"/>
    </row>
    <row r="393" spans="21:23" x14ac:dyDescent="0.2">
      <c r="U393" s="4"/>
      <c r="V393" s="4"/>
      <c r="W393" s="4"/>
    </row>
    <row r="394" spans="21:23" x14ac:dyDescent="0.2">
      <c r="U394" s="4"/>
      <c r="V394" s="4"/>
      <c r="W394" s="4"/>
    </row>
    <row r="395" spans="21:23" x14ac:dyDescent="0.2">
      <c r="U395" s="4"/>
      <c r="V395" s="4"/>
      <c r="W395" s="4"/>
    </row>
    <row r="396" spans="21:23" x14ac:dyDescent="0.2">
      <c r="U396" s="4"/>
      <c r="V396" s="4"/>
      <c r="W396" s="4"/>
    </row>
    <row r="397" spans="21:23" x14ac:dyDescent="0.2">
      <c r="U397" s="4"/>
      <c r="V397" s="4"/>
      <c r="W397" s="4"/>
    </row>
    <row r="398" spans="21:23" x14ac:dyDescent="0.2">
      <c r="U398" s="4"/>
      <c r="V398" s="4"/>
      <c r="W398" s="4"/>
    </row>
    <row r="399" spans="21:23" x14ac:dyDescent="0.2">
      <c r="U399" s="4"/>
      <c r="V399" s="4"/>
      <c r="W399" s="4"/>
    </row>
    <row r="400" spans="21:23" x14ac:dyDescent="0.2">
      <c r="U400" s="4"/>
      <c r="V400" s="4"/>
      <c r="W400" s="4"/>
    </row>
    <row r="401" spans="21:23" x14ac:dyDescent="0.2">
      <c r="U401" s="4"/>
      <c r="V401" s="4"/>
      <c r="W401" s="4"/>
    </row>
    <row r="402" spans="21:23" x14ac:dyDescent="0.2">
      <c r="U402" s="4"/>
      <c r="V402" s="4"/>
      <c r="W402" s="4"/>
    </row>
    <row r="403" spans="21:23" x14ac:dyDescent="0.2">
      <c r="U403" s="4"/>
      <c r="V403" s="4"/>
      <c r="W403" s="4"/>
    </row>
    <row r="404" spans="21:23" x14ac:dyDescent="0.2">
      <c r="U404" s="4"/>
      <c r="V404" s="4"/>
      <c r="W404" s="4"/>
    </row>
    <row r="405" spans="21:23" x14ac:dyDescent="0.2">
      <c r="U405" s="4"/>
      <c r="V405" s="4"/>
      <c r="W405" s="4"/>
    </row>
    <row r="406" spans="21:23" x14ac:dyDescent="0.2">
      <c r="U406" s="4"/>
      <c r="V406" s="4"/>
      <c r="W406" s="4"/>
    </row>
    <row r="407" spans="21:23" x14ac:dyDescent="0.2">
      <c r="U407" s="4"/>
      <c r="V407" s="4"/>
      <c r="W407" s="4"/>
    </row>
    <row r="408" spans="21:23" x14ac:dyDescent="0.2">
      <c r="U408" s="4"/>
      <c r="V408" s="4"/>
      <c r="W408" s="4"/>
    </row>
    <row r="409" spans="21:23" x14ac:dyDescent="0.2">
      <c r="U409" s="4"/>
      <c r="V409" s="4"/>
      <c r="W409" s="4"/>
    </row>
    <row r="410" spans="21:23" x14ac:dyDescent="0.2">
      <c r="U410" s="4"/>
      <c r="V410" s="4"/>
      <c r="W410" s="4"/>
    </row>
    <row r="411" spans="21:23" x14ac:dyDescent="0.2">
      <c r="U411" s="4"/>
      <c r="V411" s="4"/>
      <c r="W411" s="4"/>
    </row>
    <row r="412" spans="21:23" x14ac:dyDescent="0.2">
      <c r="U412" s="4"/>
      <c r="V412" s="4"/>
      <c r="W412" s="4"/>
    </row>
    <row r="413" spans="21:23" x14ac:dyDescent="0.2">
      <c r="U413" s="4"/>
      <c r="V413" s="4"/>
      <c r="W413" s="4"/>
    </row>
    <row r="414" spans="21:23" x14ac:dyDescent="0.2">
      <c r="U414" s="4"/>
      <c r="V414" s="4"/>
      <c r="W414" s="4"/>
    </row>
    <row r="415" spans="21:23" x14ac:dyDescent="0.2">
      <c r="U415" s="4"/>
      <c r="V415" s="4"/>
      <c r="W415" s="4"/>
    </row>
    <row r="416" spans="21:23" x14ac:dyDescent="0.2">
      <c r="U416" s="4"/>
      <c r="V416" s="4"/>
      <c r="W416" s="4"/>
    </row>
    <row r="417" spans="21:23" x14ac:dyDescent="0.2">
      <c r="U417" s="4"/>
      <c r="V417" s="4"/>
      <c r="W417" s="4"/>
    </row>
    <row r="418" spans="21:23" x14ac:dyDescent="0.2">
      <c r="U418" s="4"/>
      <c r="V418" s="4"/>
      <c r="W418" s="4"/>
    </row>
    <row r="419" spans="21:23" x14ac:dyDescent="0.2">
      <c r="U419" s="4"/>
      <c r="V419" s="4"/>
      <c r="W419" s="4"/>
    </row>
    <row r="420" spans="21:23" x14ac:dyDescent="0.2">
      <c r="U420" s="4"/>
      <c r="V420" s="4"/>
      <c r="W420" s="4"/>
    </row>
    <row r="421" spans="21:23" x14ac:dyDescent="0.2">
      <c r="U421" s="4"/>
      <c r="V421" s="4"/>
      <c r="W421" s="4"/>
    </row>
    <row r="422" spans="21:23" x14ac:dyDescent="0.2">
      <c r="U422" s="4"/>
      <c r="V422" s="4"/>
      <c r="W422" s="4"/>
    </row>
    <row r="423" spans="21:23" x14ac:dyDescent="0.2">
      <c r="U423" s="4"/>
      <c r="V423" s="4"/>
      <c r="W423" s="4"/>
    </row>
    <row r="424" spans="21:23" x14ac:dyDescent="0.2">
      <c r="U424" s="4"/>
      <c r="V424" s="4"/>
      <c r="W424" s="4"/>
    </row>
    <row r="425" spans="21:23" x14ac:dyDescent="0.2">
      <c r="U425" s="4"/>
      <c r="V425" s="4"/>
      <c r="W425" s="4"/>
    </row>
    <row r="426" spans="21:23" x14ac:dyDescent="0.2">
      <c r="U426" s="4"/>
      <c r="V426" s="4"/>
      <c r="W426" s="4"/>
    </row>
    <row r="427" spans="21:23" x14ac:dyDescent="0.2">
      <c r="U427" s="4"/>
      <c r="V427" s="4"/>
      <c r="W427" s="4"/>
    </row>
    <row r="428" spans="21:23" x14ac:dyDescent="0.2">
      <c r="U428" s="4"/>
      <c r="V428" s="4"/>
      <c r="W428" s="4"/>
    </row>
    <row r="429" spans="21:23" x14ac:dyDescent="0.2">
      <c r="U429" s="4"/>
      <c r="V429" s="4"/>
      <c r="W429" s="4"/>
    </row>
    <row r="430" spans="21:23" x14ac:dyDescent="0.2">
      <c r="U430" s="4"/>
      <c r="V430" s="4"/>
      <c r="W430" s="4"/>
    </row>
    <row r="431" spans="21:23" x14ac:dyDescent="0.2">
      <c r="U431" s="4"/>
      <c r="V431" s="4"/>
      <c r="W431" s="4"/>
    </row>
    <row r="432" spans="21:23" x14ac:dyDescent="0.2">
      <c r="U432" s="4"/>
      <c r="V432" s="4"/>
      <c r="W432" s="4"/>
    </row>
    <row r="433" spans="21:23" x14ac:dyDescent="0.2">
      <c r="U433" s="4"/>
      <c r="V433" s="4"/>
      <c r="W433" s="4"/>
    </row>
    <row r="434" spans="21:23" x14ac:dyDescent="0.2">
      <c r="U434" s="4"/>
      <c r="V434" s="4"/>
      <c r="W434" s="4"/>
    </row>
    <row r="435" spans="21:23" x14ac:dyDescent="0.2">
      <c r="U435" s="4"/>
      <c r="V435" s="4"/>
      <c r="W435" s="4"/>
    </row>
    <row r="436" spans="21:23" x14ac:dyDescent="0.2">
      <c r="U436" s="4"/>
      <c r="V436" s="4"/>
      <c r="W436" s="4"/>
    </row>
    <row r="437" spans="21:23" x14ac:dyDescent="0.2">
      <c r="U437" s="4"/>
      <c r="V437" s="4"/>
      <c r="W437" s="4"/>
    </row>
    <row r="438" spans="21:23" x14ac:dyDescent="0.2">
      <c r="U438" s="4"/>
      <c r="V438" s="4"/>
      <c r="W438" s="4"/>
    </row>
    <row r="439" spans="21:23" x14ac:dyDescent="0.2">
      <c r="U439" s="4"/>
      <c r="V439" s="4"/>
      <c r="W439" s="4"/>
    </row>
    <row r="440" spans="21:23" x14ac:dyDescent="0.2">
      <c r="U440" s="4"/>
      <c r="V440" s="4"/>
      <c r="W440" s="4"/>
    </row>
    <row r="441" spans="21:23" x14ac:dyDescent="0.2">
      <c r="U441" s="4"/>
      <c r="V441" s="4"/>
      <c r="W441" s="4"/>
    </row>
    <row r="442" spans="21:23" x14ac:dyDescent="0.2">
      <c r="U442" s="4"/>
      <c r="V442" s="4"/>
      <c r="W442" s="4"/>
    </row>
    <row r="443" spans="21:23" x14ac:dyDescent="0.2">
      <c r="U443" s="4"/>
      <c r="V443" s="4"/>
      <c r="W443" s="4"/>
    </row>
    <row r="444" spans="21:23" x14ac:dyDescent="0.2">
      <c r="U444" s="4"/>
      <c r="V444" s="4"/>
      <c r="W444" s="4"/>
    </row>
    <row r="445" spans="21:23" x14ac:dyDescent="0.2">
      <c r="U445" s="4"/>
      <c r="V445" s="4"/>
      <c r="W445" s="4"/>
    </row>
    <row r="446" spans="21:23" x14ac:dyDescent="0.2">
      <c r="U446" s="4"/>
      <c r="V446" s="4"/>
      <c r="W446" s="4"/>
    </row>
    <row r="447" spans="21:23" x14ac:dyDescent="0.2">
      <c r="U447" s="4"/>
      <c r="V447" s="4"/>
      <c r="W447" s="4"/>
    </row>
    <row r="448" spans="21:23" x14ac:dyDescent="0.2">
      <c r="U448" s="4"/>
      <c r="V448" s="4"/>
      <c r="W448" s="4"/>
    </row>
    <row r="449" spans="21:23" x14ac:dyDescent="0.2">
      <c r="U449" s="4"/>
      <c r="V449" s="4"/>
      <c r="W449" s="4"/>
    </row>
    <row r="450" spans="21:23" x14ac:dyDescent="0.2">
      <c r="U450" s="4"/>
      <c r="V450" s="4"/>
      <c r="W450" s="4"/>
    </row>
    <row r="451" spans="21:23" x14ac:dyDescent="0.2">
      <c r="U451" s="4"/>
      <c r="V451" s="4"/>
      <c r="W451" s="4"/>
    </row>
    <row r="452" spans="21:23" x14ac:dyDescent="0.2">
      <c r="U452" s="4"/>
      <c r="V452" s="4"/>
      <c r="W452" s="4"/>
    </row>
    <row r="453" spans="21:23" x14ac:dyDescent="0.2">
      <c r="U453" s="4"/>
      <c r="V453" s="4"/>
      <c r="W453" s="4"/>
    </row>
    <row r="454" spans="21:23" x14ac:dyDescent="0.2">
      <c r="U454" s="4"/>
      <c r="V454" s="4"/>
      <c r="W454" s="4"/>
    </row>
    <row r="455" spans="21:23" x14ac:dyDescent="0.2">
      <c r="U455" s="4"/>
      <c r="V455" s="4"/>
      <c r="W455" s="4"/>
    </row>
    <row r="456" spans="21:23" x14ac:dyDescent="0.2">
      <c r="U456" s="4"/>
      <c r="V456" s="4"/>
      <c r="W456" s="4"/>
    </row>
    <row r="457" spans="21:23" x14ac:dyDescent="0.2">
      <c r="U457" s="4"/>
      <c r="V457" s="4"/>
      <c r="W457" s="4"/>
    </row>
    <row r="458" spans="21:23" x14ac:dyDescent="0.2">
      <c r="U458" s="4"/>
      <c r="V458" s="4"/>
      <c r="W458" s="4"/>
    </row>
    <row r="459" spans="21:23" x14ac:dyDescent="0.2">
      <c r="U459" s="4"/>
      <c r="V459" s="4"/>
      <c r="W459" s="4"/>
    </row>
    <row r="460" spans="21:23" x14ac:dyDescent="0.2">
      <c r="U460" s="4"/>
      <c r="V460" s="4"/>
      <c r="W460" s="4"/>
    </row>
    <row r="461" spans="21:23" x14ac:dyDescent="0.2">
      <c r="U461" s="4"/>
      <c r="V461" s="4"/>
      <c r="W461" s="4"/>
    </row>
    <row r="462" spans="21:23" x14ac:dyDescent="0.2">
      <c r="U462" s="4"/>
      <c r="V462" s="4"/>
      <c r="W462" s="4"/>
    </row>
    <row r="463" spans="21:23" x14ac:dyDescent="0.2">
      <c r="U463" s="4"/>
      <c r="V463" s="4"/>
      <c r="W463" s="4"/>
    </row>
    <row r="464" spans="21:23" x14ac:dyDescent="0.2">
      <c r="U464" s="4"/>
      <c r="V464" s="4"/>
      <c r="W464" s="4"/>
    </row>
    <row r="465" spans="21:23" x14ac:dyDescent="0.2">
      <c r="U465" s="4"/>
      <c r="V465" s="4"/>
      <c r="W465" s="4"/>
    </row>
    <row r="466" spans="21:23" x14ac:dyDescent="0.2">
      <c r="U466" s="4"/>
      <c r="V466" s="4"/>
      <c r="W466" s="4"/>
    </row>
    <row r="467" spans="21:23" x14ac:dyDescent="0.2">
      <c r="U467" s="4"/>
      <c r="V467" s="4"/>
      <c r="W467" s="4"/>
    </row>
    <row r="468" spans="21:23" x14ac:dyDescent="0.2">
      <c r="U468" s="4"/>
      <c r="V468" s="4"/>
      <c r="W468" s="4"/>
    </row>
    <row r="469" spans="21:23" x14ac:dyDescent="0.2">
      <c r="U469" s="4"/>
      <c r="V469" s="4"/>
      <c r="W469" s="4"/>
    </row>
    <row r="470" spans="21:23" x14ac:dyDescent="0.2">
      <c r="U470" s="4"/>
      <c r="V470" s="4"/>
      <c r="W470" s="4"/>
    </row>
    <row r="471" spans="21:23" x14ac:dyDescent="0.2">
      <c r="U471" s="4"/>
      <c r="V471" s="4"/>
      <c r="W471" s="4"/>
    </row>
    <row r="472" spans="21:23" x14ac:dyDescent="0.2">
      <c r="U472" s="4"/>
      <c r="V472" s="4"/>
      <c r="W472" s="4"/>
    </row>
    <row r="473" spans="21:23" x14ac:dyDescent="0.2">
      <c r="U473" s="4"/>
      <c r="V473" s="4"/>
      <c r="W473" s="4"/>
    </row>
  </sheetData>
  <mergeCells count="13">
    <mergeCell ref="D2:E3"/>
    <mergeCell ref="I2:J3"/>
    <mergeCell ref="D1:E1"/>
    <mergeCell ref="V10:W10"/>
    <mergeCell ref="V8:W8"/>
    <mergeCell ref="H5:I5"/>
    <mergeCell ref="R4:S4"/>
    <mergeCell ref="V9:W9"/>
    <mergeCell ref="B1:C1"/>
    <mergeCell ref="R6:R7"/>
    <mergeCell ref="A2:B2"/>
    <mergeCell ref="A3:B3"/>
    <mergeCell ref="I1:J1"/>
  </mergeCells>
  <phoneticPr fontId="31" type="noConversion"/>
  <conditionalFormatting sqref="D94:F103">
    <cfRule type="cellIs" dxfId="19" priority="1" stopIfTrue="1" operator="lessThan">
      <formula>P94+(D94-C95)</formula>
    </cfRule>
  </conditionalFormatting>
  <conditionalFormatting sqref="G94:G103">
    <cfRule type="cellIs" dxfId="18" priority="2" stopIfTrue="1" operator="lessThan">
      <formula>R94+(G94-E94)</formula>
    </cfRule>
  </conditionalFormatting>
  <conditionalFormatting sqref="D16:E93 G16:G93">
    <cfRule type="cellIs" dxfId="17" priority="9" stopIfTrue="1" operator="lessThan">
      <formula>$O16</formula>
    </cfRule>
  </conditionalFormatting>
  <conditionalFormatting sqref="C16:C104">
    <cfRule type="cellIs" dxfId="16" priority="14" stopIfTrue="1" operator="lessThan">
      <formula>$O15</formula>
    </cfRule>
  </conditionalFormatting>
  <conditionalFormatting sqref="H16:H104">
    <cfRule type="cellIs" dxfId="15" priority="15" stopIfTrue="1" operator="lessThan">
      <formula>(D17-C17)/N16/24</formula>
    </cfRule>
  </conditionalFormatting>
  <conditionalFormatting sqref="B106:B203">
    <cfRule type="cellIs" dxfId="14" priority="3" stopIfTrue="1" operator="between">
      <formula>$B$1</formula>
      <formula>$B$1-I105</formula>
    </cfRule>
  </conditionalFormatting>
  <conditionalFormatting sqref="B9:B105">
    <cfRule type="cellIs" dxfId="13" priority="16" stopIfTrue="1" operator="between">
      <formula>$B$1</formula>
      <formula>$B$1-I9</formula>
    </cfRule>
  </conditionalFormatting>
  <conditionalFormatting sqref="E5">
    <cfRule type="cellIs" dxfId="12" priority="35" stopIfTrue="1" operator="between">
      <formula>XFD1</formula>
      <formula>0</formula>
    </cfRule>
  </conditionalFormatting>
  <conditionalFormatting sqref="P94:P102">
    <cfRule type="cellIs" dxfId="11" priority="4" stopIfTrue="1" operator="equal">
      <formula>0</formula>
    </cfRule>
    <cfRule type="cellIs" dxfId="10" priority="5" stopIfTrue="1" operator="greaterThan">
      <formula>0</formula>
    </cfRule>
  </conditionalFormatting>
  <conditionalFormatting sqref="P103:P284 N8:N405">
    <cfRule type="cellIs" dxfId="9" priority="6" stopIfTrue="1" operator="equal">
      <formula>0</formula>
    </cfRule>
  </conditionalFormatting>
  <conditionalFormatting sqref="Z2:Z4">
    <cfRule type="cellIs" dxfId="8" priority="17" stopIfTrue="1" operator="greaterThan">
      <formula>"$G$1"</formula>
    </cfRule>
    <cfRule type="cellIs" dxfId="7" priority="18" stopIfTrue="1" operator="between">
      <formula>$C$5</formula>
      <formula>0</formula>
    </cfRule>
  </conditionalFormatting>
  <conditionalFormatting sqref="R94:R102">
    <cfRule type="cellIs" dxfId="6" priority="19" stopIfTrue="1" operator="equal">
      <formula>0</formula>
    </cfRule>
    <cfRule type="cellIs" dxfId="5" priority="20" stopIfTrue="1" operator="greaterThan">
      <formula>$C$5</formula>
    </cfRule>
    <cfRule type="cellIs" dxfId="4" priority="21" stopIfTrue="1" operator="between">
      <formula>$C$5</formula>
      <formula>0</formula>
    </cfRule>
  </conditionalFormatting>
  <conditionalFormatting sqref="B8">
    <cfRule type="cellIs" dxfId="3" priority="27" stopIfTrue="1" operator="between">
      <formula>$B$1</formula>
      <formula>$B$1-$I$8</formula>
    </cfRule>
  </conditionalFormatting>
  <conditionalFormatting sqref="S5">
    <cfRule type="cellIs" dxfId="2" priority="45" stopIfTrue="1" operator="lessThan">
      <formula>0.000115740740740741</formula>
    </cfRule>
  </conditionalFormatting>
  <conditionalFormatting sqref="H5:I5">
    <cfRule type="cellIs" dxfId="1" priority="46" stopIfTrue="1" operator="lessThan">
      <formula>-0.01</formula>
    </cfRule>
    <cfRule type="cellIs" dxfId="0" priority="47" stopIfTrue="1" operator="greaterThan">
      <formula>0.01</formula>
    </cfRule>
  </conditionalFormatting>
  <pageMargins left="0.75" right="0.75" top="1" bottom="1" header="0" footer="0"/>
  <pageSetup paperSize="9" scale="93" orientation="landscape" horizontalDpi="300" verticalDpi="300" r:id="rId1"/>
  <headerFooter alignWithMargins="0"/>
  <drawing r:id="rId2"/>
  <legacyDrawing r:id="rId3"/>
  <controls>
    <mc:AlternateContent xmlns:mc="http://schemas.openxmlformats.org/markup-compatibility/2006">
      <mc:Choice Requires="x14">
        <control shapeId="106521" r:id="rId4" name="NETComm1">
          <controlPr autoLine="0" r:id="rId5">
            <anchor moveWithCells="1">
              <from>
                <xdr:col>101</xdr:col>
                <xdr:colOff>228600</xdr:colOff>
                <xdr:row>7</xdr:row>
                <xdr:rowOff>28575</xdr:rowOff>
              </from>
              <to>
                <xdr:col>101</xdr:col>
                <xdr:colOff>609600</xdr:colOff>
                <xdr:row>9</xdr:row>
                <xdr:rowOff>0</xdr:rowOff>
              </to>
            </anchor>
          </controlPr>
        </control>
      </mc:Choice>
      <mc:Fallback>
        <control shapeId="106521" r:id="rId4" name="NETComm1"/>
      </mc:Fallback>
    </mc:AlternateContent>
    <mc:AlternateContent xmlns:mc="http://schemas.openxmlformats.org/markup-compatibility/2006">
      <mc:Choice Requires="x14">
        <control shapeId="106498" r:id="rId6" name="Button 2">
          <controlPr defaultSize="0" print="0" autoFill="0" autoPict="0" macro="[0]!fijar_hora">
            <anchor moveWithCells="1" sizeWithCells="1">
              <from>
                <xdr:col>8</xdr:col>
                <xdr:colOff>866775</xdr:colOff>
                <xdr:row>0</xdr:row>
                <xdr:rowOff>57150</xdr:rowOff>
              </from>
              <to>
                <xdr:col>12</xdr:col>
                <xdr:colOff>114300</xdr:colOff>
                <xdr:row>0</xdr:row>
                <xdr:rowOff>314325</xdr:rowOff>
              </to>
            </anchor>
          </controlPr>
        </control>
      </mc:Choice>
    </mc:AlternateContent>
    <mc:AlternateContent xmlns:mc="http://schemas.openxmlformats.org/markup-compatibility/2006">
      <mc:Choice Requires="x14">
        <control shapeId="106499" r:id="rId7" name="Drop Down 3">
          <controlPr defaultSize="0" autoLine="0" autoPict="0">
            <anchor moveWithCells="1">
              <from>
                <xdr:col>3</xdr:col>
                <xdr:colOff>866775</xdr:colOff>
                <xdr:row>5</xdr:row>
                <xdr:rowOff>381000</xdr:rowOff>
              </from>
              <to>
                <xdr:col>5</xdr:col>
                <xdr:colOff>0</xdr:colOff>
                <xdr:row>6</xdr:row>
                <xdr:rowOff>57150</xdr:rowOff>
              </to>
            </anchor>
          </controlPr>
        </control>
      </mc:Choice>
    </mc:AlternateContent>
    <mc:AlternateContent xmlns:mc="http://schemas.openxmlformats.org/markup-compatibility/2006">
      <mc:Choice Requires="x14">
        <control shapeId="106500" r:id="rId8" name="Button 4">
          <controlPr locked="0" defaultSize="0" autoFill="0" autoPict="0" macro="[0]!rellenar">
            <anchor moveWithCells="1" sizeWithCells="1">
              <from>
                <xdr:col>7</xdr:col>
                <xdr:colOff>628650</xdr:colOff>
                <xdr:row>0</xdr:row>
                <xdr:rowOff>28575</xdr:rowOff>
              </from>
              <to>
                <xdr:col>8</xdr:col>
                <xdr:colOff>809625</xdr:colOff>
                <xdr:row>0</xdr:row>
                <xdr:rowOff>295275</xdr:rowOff>
              </to>
            </anchor>
          </controlPr>
        </control>
      </mc:Choice>
    </mc:AlternateContent>
    <mc:AlternateContent xmlns:mc="http://schemas.openxmlformats.org/markup-compatibility/2006">
      <mc:Choice Requires="x14">
        <control shapeId="106501" r:id="rId9" name="Button 5">
          <controlPr defaultSize="0" print="0" autoFill="0" autoPict="0" macro="[0]!ocultarcol">
            <anchor moveWithCells="1" sizeWithCells="1">
              <from>
                <xdr:col>10</xdr:col>
                <xdr:colOff>0</xdr:colOff>
                <xdr:row>1</xdr:row>
                <xdr:rowOff>161925</xdr:rowOff>
              </from>
              <to>
                <xdr:col>10</xdr:col>
                <xdr:colOff>0</xdr:colOff>
                <xdr:row>2</xdr:row>
                <xdr:rowOff>57150</xdr:rowOff>
              </to>
            </anchor>
          </controlPr>
        </control>
      </mc:Choice>
    </mc:AlternateContent>
    <mc:AlternateContent xmlns:mc="http://schemas.openxmlformats.org/markup-compatibility/2006">
      <mc:Choice Requires="x14">
        <control shapeId="106504" r:id="rId10" name="Button 8">
          <controlPr defaultSize="0" print="0" autoFill="0" autoPict="0" macro="[0]!Sheet1.CommandButton1_Click">
            <anchor moveWithCells="1">
              <from>
                <xdr:col>3</xdr:col>
                <xdr:colOff>28575</xdr:colOff>
                <xdr:row>0</xdr:row>
                <xdr:rowOff>19050</xdr:rowOff>
              </from>
              <to>
                <xdr:col>4</xdr:col>
                <xdr:colOff>371475</xdr:colOff>
                <xdr:row>0</xdr:row>
                <xdr:rowOff>304800</xdr:rowOff>
              </to>
            </anchor>
          </controlPr>
        </control>
      </mc:Choice>
    </mc:AlternateContent>
    <mc:AlternateContent xmlns:mc="http://schemas.openxmlformats.org/markup-compatibility/2006">
      <mc:Choice Requires="x14">
        <control shapeId="106505" r:id="rId11" name="Drop Down 9">
          <controlPr defaultSize="0" autoLine="0" autoPict="0" macro="[0]!decametro">
            <anchor moveWithCells="1" sizeWithCells="1">
              <from>
                <xdr:col>21</xdr:col>
                <xdr:colOff>57150</xdr:colOff>
                <xdr:row>3</xdr:row>
                <xdr:rowOff>66675</xdr:rowOff>
              </from>
              <to>
                <xdr:col>22</xdr:col>
                <xdr:colOff>495300</xdr:colOff>
                <xdr:row>3</xdr:row>
                <xdr:rowOff>266700</xdr:rowOff>
              </to>
            </anchor>
          </controlPr>
        </control>
      </mc:Choice>
    </mc:AlternateContent>
    <mc:AlternateContent xmlns:mc="http://schemas.openxmlformats.org/markup-compatibility/2006">
      <mc:Choice Requires="x14">
        <control shapeId="106506" r:id="rId12" name="Button 10">
          <controlPr defaultSize="0" print="0" autoFill="0" autoPict="0" macro="[0]!mas10m">
            <anchor moveWithCells="1" sizeWithCells="1">
              <from>
                <xdr:col>22</xdr:col>
                <xdr:colOff>19050</xdr:colOff>
                <xdr:row>2</xdr:row>
                <xdr:rowOff>38100</xdr:rowOff>
              </from>
              <to>
                <xdr:col>22</xdr:col>
                <xdr:colOff>542925</xdr:colOff>
                <xdr:row>2</xdr:row>
                <xdr:rowOff>371475</xdr:rowOff>
              </to>
            </anchor>
          </controlPr>
        </control>
      </mc:Choice>
    </mc:AlternateContent>
    <mc:AlternateContent xmlns:mc="http://schemas.openxmlformats.org/markup-compatibility/2006">
      <mc:Choice Requires="x14">
        <control shapeId="106507" r:id="rId13" name="Button 11">
          <controlPr defaultSize="0" autoFill="0" autoPict="0" macro="[0]!menos10m">
            <anchor moveWithCells="1" sizeWithCells="1">
              <from>
                <xdr:col>21</xdr:col>
                <xdr:colOff>114300</xdr:colOff>
                <xdr:row>2</xdr:row>
                <xdr:rowOff>28575</xdr:rowOff>
              </from>
              <to>
                <xdr:col>21</xdr:col>
                <xdr:colOff>638175</xdr:colOff>
                <xdr:row>2</xdr:row>
                <xdr:rowOff>361950</xdr:rowOff>
              </to>
            </anchor>
          </controlPr>
        </control>
      </mc:Choice>
    </mc:AlternateContent>
    <mc:AlternateContent xmlns:mc="http://schemas.openxmlformats.org/markup-compatibility/2006">
      <mc:Choice Requires="x14">
        <control shapeId="106508" r:id="rId14" name="Button 12">
          <controlPr defaultSize="0" autoFill="0" autoPict="0" macro="[0]!ocultar_lista_parametros">
            <anchor moveWithCells="1" sizeWithCells="1">
              <from>
                <xdr:col>21</xdr:col>
                <xdr:colOff>38100</xdr:colOff>
                <xdr:row>0</xdr:row>
                <xdr:rowOff>28575</xdr:rowOff>
              </from>
              <to>
                <xdr:col>22</xdr:col>
                <xdr:colOff>561975</xdr:colOff>
                <xdr:row>0</xdr:row>
                <xdr:rowOff>323850</xdr:rowOff>
              </to>
            </anchor>
          </controlPr>
        </control>
      </mc:Choice>
    </mc:AlternateContent>
    <mc:AlternateContent xmlns:mc="http://schemas.openxmlformats.org/markup-compatibility/2006">
      <mc:Choice Requires="x14">
        <control shapeId="106509" r:id="rId15" name="Button 13">
          <controlPr defaultSize="0" autoFill="0" autoPict="0" macro="[0]!mostrarcol">
            <anchor moveWithCells="1" sizeWithCells="1">
              <from>
                <xdr:col>34</xdr:col>
                <xdr:colOff>66675</xdr:colOff>
                <xdr:row>5</xdr:row>
                <xdr:rowOff>0</xdr:rowOff>
              </from>
              <to>
                <xdr:col>35</xdr:col>
                <xdr:colOff>552450</xdr:colOff>
                <xdr:row>6</xdr:row>
                <xdr:rowOff>19050</xdr:rowOff>
              </to>
            </anchor>
          </controlPr>
        </control>
      </mc:Choice>
    </mc:AlternateContent>
    <mc:AlternateContent xmlns:mc="http://schemas.openxmlformats.org/markup-compatibility/2006">
      <mc:Choice Requires="x14">
        <control shapeId="106511" r:id="rId16" name="Button 15">
          <controlPr defaultSize="0" print="0" autoFill="0" autoPict="0" macro="[0]!ver_lista_parametros">
            <anchor moveWithCells="1">
              <from>
                <xdr:col>23</xdr:col>
                <xdr:colOff>47625</xdr:colOff>
                <xdr:row>0</xdr:row>
                <xdr:rowOff>57150</xdr:rowOff>
              </from>
              <to>
                <xdr:col>25</xdr:col>
                <xdr:colOff>247650</xdr:colOff>
                <xdr:row>0</xdr:row>
                <xdr:rowOff>314325</xdr:rowOff>
              </to>
            </anchor>
          </controlPr>
        </control>
      </mc:Choice>
    </mc:AlternateContent>
    <mc:AlternateContent xmlns:mc="http://schemas.openxmlformats.org/markup-compatibility/2006">
      <mc:Choice Requires="x14">
        <control shapeId="106512" r:id="rId17" name="Drop Down 16">
          <controlPr defaultSize="0" autoLine="0" autoPict="0" macro="[0]!decametro">
            <anchor moveWithCells="1" sizeWithCells="1">
              <from>
                <xdr:col>21</xdr:col>
                <xdr:colOff>66675</xdr:colOff>
                <xdr:row>4</xdr:row>
                <xdr:rowOff>38100</xdr:rowOff>
              </from>
              <to>
                <xdr:col>22</xdr:col>
                <xdr:colOff>504825</xdr:colOff>
                <xdr:row>4</xdr:row>
                <xdr:rowOff>238125</xdr:rowOff>
              </to>
            </anchor>
          </controlPr>
        </control>
      </mc:Choice>
    </mc:AlternateContent>
    <mc:AlternateContent xmlns:mc="http://schemas.openxmlformats.org/markup-compatibility/2006">
      <mc:Choice Requires="x14">
        <control shapeId="106513" r:id="rId18" name="Button 17">
          <controlPr defaultSize="0" autoFill="0" autoPict="0" macro="[0]!dis_set">
            <anchor moveWithCells="1" sizeWithCells="1">
              <from>
                <xdr:col>4</xdr:col>
                <xdr:colOff>438150</xdr:colOff>
                <xdr:row>0</xdr:row>
                <xdr:rowOff>19050</xdr:rowOff>
              </from>
              <to>
                <xdr:col>7</xdr:col>
                <xdr:colOff>581025</xdr:colOff>
                <xdr:row>0</xdr:row>
                <xdr:rowOff>304800</xdr:rowOff>
              </to>
            </anchor>
          </controlPr>
        </control>
      </mc:Choice>
    </mc:AlternateContent>
    <mc:AlternateContent xmlns:mc="http://schemas.openxmlformats.org/markup-compatibility/2006">
      <mc:Choice Requires="x14">
        <control shapeId="106514" r:id="rId19" name="Drop Down 18">
          <controlPr defaultSize="0" autoLine="0" autoPict="0" macro="[0]!decametro">
            <anchor moveWithCells="1" sizeWithCells="1">
              <from>
                <xdr:col>21</xdr:col>
                <xdr:colOff>76200</xdr:colOff>
                <xdr:row>4</xdr:row>
                <xdr:rowOff>314325</xdr:rowOff>
              </from>
              <to>
                <xdr:col>22</xdr:col>
                <xdr:colOff>485775</xdr:colOff>
                <xdr:row>4</xdr:row>
                <xdr:rowOff>514350</xdr:rowOff>
              </to>
            </anchor>
          </controlPr>
        </control>
      </mc:Choice>
    </mc:AlternateContent>
    <mc:AlternateContent xmlns:mc="http://schemas.openxmlformats.org/markup-compatibility/2006">
      <mc:Choice Requires="x14">
        <control shapeId="106516" r:id="rId20" name="Drop Down 20">
          <controlPr defaultSize="0" autoLine="0" autoPict="0" macro="[0]!decametro">
            <anchor moveWithCells="1" sizeWithCells="1">
              <from>
                <xdr:col>21</xdr:col>
                <xdr:colOff>66675</xdr:colOff>
                <xdr:row>5</xdr:row>
                <xdr:rowOff>409575</xdr:rowOff>
              </from>
              <to>
                <xdr:col>22</xdr:col>
                <xdr:colOff>504825</xdr:colOff>
                <xdr:row>6</xdr:row>
                <xdr:rowOff>85725</xdr:rowOff>
              </to>
            </anchor>
          </controlPr>
        </control>
      </mc:Choice>
    </mc:AlternateContent>
    <mc:AlternateContent xmlns:mc="http://schemas.openxmlformats.org/markup-compatibility/2006">
      <mc:Choice Requires="x14">
        <control shapeId="106517" r:id="rId21" name="Button 21">
          <controlPr defaultSize="0" print="0" autoFill="0" autoPict="0" macro="[0]!TiempoLoco">
            <anchor moveWithCells="1" sizeWithCells="1">
              <from>
                <xdr:col>12</xdr:col>
                <xdr:colOff>171450</xdr:colOff>
                <xdr:row>0</xdr:row>
                <xdr:rowOff>66675</xdr:rowOff>
              </from>
              <to>
                <xdr:col>12</xdr:col>
                <xdr:colOff>628650</xdr:colOff>
                <xdr:row>0</xdr:row>
                <xdr:rowOff>314325</xdr:rowOff>
              </to>
            </anchor>
          </controlPr>
        </control>
      </mc:Choice>
    </mc:AlternateContent>
    <mc:AlternateContent xmlns:mc="http://schemas.openxmlformats.org/markup-compatibility/2006">
      <mc:Choice Requires="x14">
        <control shapeId="106518" r:id="rId22" name="Button 22">
          <controlPr defaultSize="0" autoFill="0" autoPict="0" macro="[0]!freeze">
            <anchor moveWithCells="1" sizeWithCells="1">
              <from>
                <xdr:col>3</xdr:col>
                <xdr:colOff>19050</xdr:colOff>
                <xdr:row>3</xdr:row>
                <xdr:rowOff>38100</xdr:rowOff>
              </from>
              <to>
                <xdr:col>3</xdr:col>
                <xdr:colOff>885825</xdr:colOff>
                <xdr:row>3</xdr:row>
                <xdr:rowOff>276225</xdr:rowOff>
              </to>
            </anchor>
          </controlPr>
        </control>
      </mc:Choice>
    </mc:AlternateContent>
    <mc:AlternateContent xmlns:mc="http://schemas.openxmlformats.org/markup-compatibility/2006">
      <mc:Choice Requires="x14">
        <control shapeId="106520" r:id="rId23" name="Drop Down 24">
          <controlPr defaultSize="0" autoLine="0" autoPict="0" macro="[0]!modotabla">
            <anchor moveWithCells="1" sizeWithCells="1">
              <from>
                <xdr:col>21</xdr:col>
                <xdr:colOff>66675</xdr:colOff>
                <xdr:row>5</xdr:row>
                <xdr:rowOff>85725</xdr:rowOff>
              </from>
              <to>
                <xdr:col>22</xdr:col>
                <xdr:colOff>504825</xdr:colOff>
                <xdr:row>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P78"/>
  <sheetViews>
    <sheetView workbookViewId="0">
      <selection activeCell="D2" sqref="D2"/>
    </sheetView>
  </sheetViews>
  <sheetFormatPr baseColWidth="10" defaultColWidth="9" defaultRowHeight="15" x14ac:dyDescent="0.25"/>
  <cols>
    <col min="1" max="1" width="6.85546875" style="72" customWidth="1"/>
    <col min="2" max="4" width="18.7109375" style="74" customWidth="1"/>
    <col min="5" max="16384" width="9" style="72"/>
  </cols>
  <sheetData>
    <row r="1" spans="1:250" ht="18" thickBot="1" x14ac:dyDescent="0.35">
      <c r="A1" s="73"/>
      <c r="B1" s="79" t="s">
        <v>94</v>
      </c>
      <c r="C1" s="79" t="s">
        <v>95</v>
      </c>
      <c r="D1" s="79" t="s">
        <v>42</v>
      </c>
      <c r="BH1" s="75">
        <f ca="1">NOW()</f>
        <v>41004.96718796296</v>
      </c>
      <c r="IP1" s="75">
        <f ca="1">NOW()</f>
        <v>41004.96718796296</v>
      </c>
    </row>
    <row r="2" spans="1:250" ht="15.75" thickTop="1" x14ac:dyDescent="0.25">
      <c r="B2" s="72"/>
      <c r="C2" s="72"/>
      <c r="D2" s="72"/>
      <c r="IP2" s="72" t="s">
        <v>110</v>
      </c>
    </row>
    <row r="3" spans="1:250" x14ac:dyDescent="0.25">
      <c r="B3" s="72"/>
      <c r="C3" s="72"/>
      <c r="D3" s="72"/>
    </row>
    <row r="4" spans="1:250" x14ac:dyDescent="0.25">
      <c r="B4" s="72"/>
      <c r="C4" s="72"/>
      <c r="D4" s="72"/>
    </row>
    <row r="5" spans="1:250" x14ac:dyDescent="0.25">
      <c r="B5" s="72"/>
      <c r="C5" s="72"/>
      <c r="D5" s="72"/>
    </row>
    <row r="6" spans="1:250" x14ac:dyDescent="0.25">
      <c r="B6" s="72"/>
      <c r="C6" s="72"/>
      <c r="D6" s="72"/>
      <c r="BJ6" s="72">
        <v>1</v>
      </c>
    </row>
    <row r="7" spans="1:250" x14ac:dyDescent="0.25">
      <c r="B7" s="72"/>
      <c r="C7" s="72"/>
      <c r="D7" s="72"/>
    </row>
    <row r="8" spans="1:250" x14ac:dyDescent="0.25">
      <c r="B8" s="72"/>
      <c r="C8" s="72"/>
      <c r="D8" s="72"/>
    </row>
    <row r="9" spans="1:250" x14ac:dyDescent="0.25">
      <c r="B9" s="72"/>
      <c r="C9" s="72"/>
      <c r="D9" s="72"/>
    </row>
    <row r="10" spans="1:250" x14ac:dyDescent="0.25">
      <c r="B10" s="72"/>
      <c r="C10" s="72"/>
      <c r="D10" s="72"/>
    </row>
    <row r="11" spans="1:250" x14ac:dyDescent="0.25">
      <c r="B11" s="72"/>
      <c r="C11" s="72"/>
      <c r="D11" s="72"/>
    </row>
    <row r="12" spans="1:250" x14ac:dyDescent="0.25">
      <c r="B12" s="72"/>
      <c r="C12" s="72"/>
      <c r="D12" s="72"/>
    </row>
    <row r="13" spans="1:250" x14ac:dyDescent="0.25">
      <c r="B13" s="72"/>
      <c r="C13" s="72"/>
      <c r="D13" s="72"/>
    </row>
    <row r="14" spans="1:250" x14ac:dyDescent="0.25">
      <c r="B14" s="72"/>
      <c r="C14" s="72"/>
      <c r="D14" s="72"/>
    </row>
    <row r="15" spans="1:250" x14ac:dyDescent="0.25">
      <c r="B15" s="72"/>
      <c r="C15" s="72"/>
      <c r="D15" s="72"/>
    </row>
    <row r="16" spans="1:250" x14ac:dyDescent="0.25">
      <c r="B16" s="72"/>
      <c r="C16" s="72"/>
      <c r="D16" s="72"/>
    </row>
    <row r="17" spans="2:4" x14ac:dyDescent="0.25">
      <c r="B17" s="72"/>
      <c r="C17" s="72"/>
      <c r="D17" s="72"/>
    </row>
    <row r="18" spans="2:4" x14ac:dyDescent="0.25">
      <c r="B18" s="72"/>
      <c r="C18" s="72"/>
      <c r="D18" s="72"/>
    </row>
    <row r="19" spans="2:4" x14ac:dyDescent="0.25">
      <c r="B19" s="72"/>
      <c r="C19" s="72"/>
      <c r="D19" s="72"/>
    </row>
    <row r="20" spans="2:4" x14ac:dyDescent="0.25">
      <c r="B20" s="72"/>
      <c r="C20" s="72"/>
      <c r="D20" s="72"/>
    </row>
    <row r="21" spans="2:4" x14ac:dyDescent="0.25">
      <c r="B21" s="72"/>
      <c r="C21" s="72"/>
      <c r="D21" s="72"/>
    </row>
    <row r="22" spans="2:4" x14ac:dyDescent="0.25">
      <c r="B22" s="72"/>
      <c r="C22" s="72"/>
      <c r="D22" s="72"/>
    </row>
    <row r="23" spans="2:4" x14ac:dyDescent="0.25">
      <c r="B23" s="72"/>
      <c r="C23" s="72"/>
      <c r="D23" s="72"/>
    </row>
    <row r="24" spans="2:4" x14ac:dyDescent="0.25">
      <c r="B24" s="72"/>
      <c r="C24" s="72"/>
      <c r="D24" s="72"/>
    </row>
    <row r="25" spans="2:4" x14ac:dyDescent="0.25">
      <c r="B25" s="72"/>
      <c r="C25" s="72"/>
      <c r="D25" s="72"/>
    </row>
    <row r="26" spans="2:4" x14ac:dyDescent="0.25">
      <c r="B26" s="72"/>
      <c r="C26" s="72"/>
      <c r="D26" s="72"/>
    </row>
    <row r="27" spans="2:4" x14ac:dyDescent="0.25">
      <c r="B27" s="72"/>
      <c r="C27" s="72"/>
      <c r="D27" s="72"/>
    </row>
    <row r="28" spans="2:4" x14ac:dyDescent="0.25">
      <c r="B28" s="72"/>
      <c r="C28" s="72"/>
      <c r="D28" s="72"/>
    </row>
    <row r="29" spans="2:4" x14ac:dyDescent="0.25">
      <c r="B29" s="72"/>
      <c r="C29" s="72"/>
      <c r="D29" s="72"/>
    </row>
    <row r="30" spans="2:4" x14ac:dyDescent="0.25">
      <c r="B30" s="72"/>
      <c r="C30" s="72"/>
      <c r="D30" s="72"/>
    </row>
    <row r="31" spans="2:4" x14ac:dyDescent="0.25">
      <c r="B31" s="72"/>
      <c r="C31" s="72"/>
      <c r="D31" s="72"/>
    </row>
    <row r="32" spans="2:4" x14ac:dyDescent="0.25">
      <c r="B32" s="72"/>
      <c r="C32" s="72"/>
      <c r="D32" s="72"/>
    </row>
    <row r="33" spans="2:4" x14ac:dyDescent="0.25">
      <c r="B33" s="72"/>
      <c r="C33" s="72"/>
      <c r="D33" s="72"/>
    </row>
    <row r="34" spans="2:4" x14ac:dyDescent="0.25">
      <c r="B34" s="72"/>
      <c r="C34" s="72"/>
      <c r="D34" s="72"/>
    </row>
    <row r="35" spans="2:4" x14ac:dyDescent="0.25">
      <c r="B35" s="72"/>
      <c r="C35" s="72"/>
      <c r="D35" s="72"/>
    </row>
    <row r="36" spans="2:4" x14ac:dyDescent="0.25">
      <c r="B36" s="72"/>
      <c r="C36" s="72"/>
      <c r="D36" s="72"/>
    </row>
    <row r="37" spans="2:4" x14ac:dyDescent="0.25">
      <c r="B37" s="72"/>
      <c r="C37" s="72"/>
      <c r="D37" s="72"/>
    </row>
    <row r="38" spans="2:4" x14ac:dyDescent="0.25">
      <c r="B38" s="72"/>
      <c r="C38" s="72"/>
      <c r="D38" s="72"/>
    </row>
    <row r="39" spans="2:4" x14ac:dyDescent="0.25">
      <c r="B39" s="72"/>
      <c r="C39" s="72"/>
      <c r="D39" s="72"/>
    </row>
    <row r="40" spans="2:4" x14ac:dyDescent="0.25">
      <c r="B40" s="72"/>
      <c r="C40" s="72"/>
      <c r="D40" s="72"/>
    </row>
    <row r="41" spans="2:4" x14ac:dyDescent="0.25">
      <c r="B41" s="72"/>
      <c r="C41" s="72"/>
      <c r="D41" s="72"/>
    </row>
    <row r="42" spans="2:4" x14ac:dyDescent="0.25">
      <c r="B42" s="72"/>
      <c r="C42" s="72"/>
      <c r="D42" s="72"/>
    </row>
    <row r="43" spans="2:4" x14ac:dyDescent="0.25">
      <c r="B43" s="72"/>
      <c r="C43" s="72"/>
      <c r="D43" s="72"/>
    </row>
    <row r="44" spans="2:4" x14ac:dyDescent="0.25">
      <c r="B44" s="72"/>
      <c r="C44" s="72"/>
      <c r="D44" s="72"/>
    </row>
    <row r="45" spans="2:4" x14ac:dyDescent="0.25">
      <c r="B45" s="72"/>
      <c r="C45" s="72"/>
      <c r="D45" s="72"/>
    </row>
    <row r="46" spans="2:4" x14ac:dyDescent="0.25">
      <c r="B46" s="72"/>
      <c r="C46" s="72"/>
      <c r="D46" s="72"/>
    </row>
    <row r="47" spans="2:4" x14ac:dyDescent="0.25">
      <c r="B47" s="72"/>
      <c r="C47" s="72"/>
      <c r="D47" s="72"/>
    </row>
    <row r="48" spans="2:4" x14ac:dyDescent="0.25">
      <c r="B48" s="72"/>
      <c r="C48" s="72"/>
      <c r="D48" s="72"/>
    </row>
    <row r="49" spans="2:4" x14ac:dyDescent="0.25">
      <c r="B49" s="72"/>
      <c r="C49" s="72"/>
      <c r="D49" s="72"/>
    </row>
    <row r="50" spans="2:4" x14ac:dyDescent="0.25">
      <c r="B50" s="72"/>
      <c r="C50" s="72"/>
      <c r="D50" s="72"/>
    </row>
    <row r="51" spans="2:4" x14ac:dyDescent="0.25">
      <c r="B51" s="72"/>
      <c r="C51" s="72"/>
      <c r="D51" s="72"/>
    </row>
    <row r="52" spans="2:4" x14ac:dyDescent="0.25">
      <c r="B52" s="72"/>
      <c r="C52" s="72"/>
      <c r="D52" s="72"/>
    </row>
    <row r="53" spans="2:4" x14ac:dyDescent="0.25">
      <c r="B53" s="72"/>
      <c r="C53" s="72"/>
      <c r="D53" s="72"/>
    </row>
    <row r="54" spans="2:4" x14ac:dyDescent="0.25">
      <c r="B54" s="72"/>
      <c r="C54" s="72"/>
      <c r="D54" s="72"/>
    </row>
    <row r="55" spans="2:4" x14ac:dyDescent="0.25">
      <c r="B55" s="72"/>
      <c r="C55" s="72"/>
      <c r="D55" s="72"/>
    </row>
    <row r="56" spans="2:4" x14ac:dyDescent="0.25">
      <c r="B56" s="72"/>
      <c r="C56" s="72"/>
      <c r="D56" s="72"/>
    </row>
    <row r="57" spans="2:4" x14ac:dyDescent="0.25">
      <c r="B57" s="72"/>
      <c r="C57" s="72"/>
      <c r="D57" s="72"/>
    </row>
    <row r="58" spans="2:4" x14ac:dyDescent="0.25">
      <c r="B58" s="72"/>
      <c r="C58" s="72"/>
      <c r="D58" s="72"/>
    </row>
    <row r="59" spans="2:4" x14ac:dyDescent="0.25">
      <c r="B59" s="72"/>
      <c r="C59" s="72"/>
      <c r="D59" s="72"/>
    </row>
    <row r="60" spans="2:4" x14ac:dyDescent="0.25">
      <c r="B60" s="72"/>
      <c r="C60" s="72"/>
      <c r="D60" s="72"/>
    </row>
    <row r="61" spans="2:4" x14ac:dyDescent="0.25">
      <c r="B61" s="72"/>
      <c r="C61" s="72"/>
      <c r="D61" s="72"/>
    </row>
    <row r="62" spans="2:4" x14ac:dyDescent="0.25">
      <c r="B62" s="72"/>
      <c r="C62" s="72"/>
      <c r="D62" s="72"/>
    </row>
    <row r="63" spans="2:4" x14ac:dyDescent="0.25">
      <c r="B63" s="72"/>
      <c r="C63" s="72"/>
      <c r="D63" s="72"/>
    </row>
    <row r="64" spans="2:4" x14ac:dyDescent="0.25">
      <c r="B64" s="72"/>
      <c r="C64" s="72"/>
      <c r="D64" s="72"/>
    </row>
    <row r="65" spans="2:4" x14ac:dyDescent="0.25">
      <c r="B65" s="72"/>
      <c r="C65" s="72"/>
      <c r="D65" s="72"/>
    </row>
    <row r="66" spans="2:4" x14ac:dyDescent="0.25">
      <c r="B66" s="72"/>
      <c r="C66" s="72"/>
      <c r="D66" s="72"/>
    </row>
    <row r="67" spans="2:4" x14ac:dyDescent="0.25">
      <c r="B67" s="72"/>
      <c r="C67" s="72"/>
      <c r="D67" s="72"/>
    </row>
    <row r="68" spans="2:4" x14ac:dyDescent="0.25">
      <c r="B68" s="72"/>
      <c r="C68" s="72"/>
      <c r="D68" s="72"/>
    </row>
    <row r="69" spans="2:4" x14ac:dyDescent="0.25">
      <c r="B69" s="72"/>
      <c r="C69" s="72"/>
      <c r="D69" s="72"/>
    </row>
    <row r="70" spans="2:4" x14ac:dyDescent="0.25">
      <c r="B70" s="72"/>
      <c r="C70" s="72"/>
      <c r="D70" s="72"/>
    </row>
    <row r="71" spans="2:4" x14ac:dyDescent="0.25">
      <c r="B71" s="72"/>
      <c r="C71" s="72"/>
      <c r="D71" s="72"/>
    </row>
    <row r="72" spans="2:4" x14ac:dyDescent="0.25">
      <c r="B72" s="72"/>
      <c r="C72" s="72"/>
      <c r="D72" s="72"/>
    </row>
    <row r="73" spans="2:4" x14ac:dyDescent="0.25">
      <c r="B73" s="72"/>
      <c r="C73" s="72"/>
      <c r="D73" s="72"/>
    </row>
    <row r="74" spans="2:4" x14ac:dyDescent="0.25">
      <c r="B74" s="72"/>
      <c r="C74" s="72"/>
      <c r="D74" s="72"/>
    </row>
    <row r="75" spans="2:4" x14ac:dyDescent="0.25">
      <c r="B75" s="72"/>
      <c r="C75" s="72"/>
      <c r="D75" s="72"/>
    </row>
    <row r="76" spans="2:4" x14ac:dyDescent="0.25">
      <c r="B76" s="72"/>
      <c r="C76" s="72"/>
      <c r="D76" s="72"/>
    </row>
    <row r="77" spans="2:4" x14ac:dyDescent="0.25">
      <c r="B77" s="72"/>
      <c r="C77" s="72"/>
      <c r="D77" s="72"/>
    </row>
    <row r="78" spans="2:4" x14ac:dyDescent="0.25">
      <c r="B78" s="72"/>
      <c r="C78" s="72"/>
      <c r="D78" s="72"/>
    </row>
  </sheetData>
  <phoneticPr fontId="34" type="noConversion"/>
  <pageMargins left="0.7" right="0.7" top="0.75" bottom="0.75" header="0.3" footer="0.3"/>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4"/>
    <pageSetUpPr fitToPage="1"/>
  </sheetPr>
  <dimension ref="B1:IT34"/>
  <sheetViews>
    <sheetView tabSelected="1" zoomScale="90" zoomScaleNormal="90" workbookViewId="0">
      <selection activeCell="Q20" sqref="Q20"/>
    </sheetView>
  </sheetViews>
  <sheetFormatPr baseColWidth="10" defaultColWidth="9.140625" defaultRowHeight="21" x14ac:dyDescent="0.35"/>
  <cols>
    <col min="1" max="1" width="5.7109375" style="69" customWidth="1"/>
    <col min="2" max="2" width="22.140625" style="69" customWidth="1"/>
    <col min="3" max="3" width="14.28515625" style="69" customWidth="1"/>
    <col min="4" max="8" width="9.140625" style="69"/>
    <col min="9" max="9" width="12" style="69" customWidth="1"/>
    <col min="10" max="10" width="10.42578125" style="69" customWidth="1"/>
    <col min="11" max="12" width="9.140625" style="69"/>
    <col min="13" max="13" width="7.140625" style="69" customWidth="1"/>
    <col min="14" max="14" width="3.5703125" style="69" customWidth="1"/>
    <col min="15" max="15" width="20.7109375" style="69" customWidth="1"/>
    <col min="16" max="16" width="5.42578125" style="69" customWidth="1"/>
    <col min="17" max="16384" width="9.140625" style="69"/>
  </cols>
  <sheetData>
    <row r="1" spans="2:254" ht="18" customHeight="1" x14ac:dyDescent="0.35">
      <c r="O1" s="69" t="s">
        <v>108</v>
      </c>
      <c r="P1" s="69">
        <v>174</v>
      </c>
      <c r="X1" s="190"/>
      <c r="BH1" s="70">
        <f ca="1">NOW()</f>
        <v>41004.96718796296</v>
      </c>
      <c r="BJ1" s="69">
        <v>21</v>
      </c>
      <c r="CA1" s="4"/>
      <c r="CB1" s="4"/>
      <c r="CC1" s="4"/>
      <c r="CD1" s="203"/>
      <c r="CO1" s="77"/>
      <c r="CP1" s="77"/>
      <c r="IP1" s="70">
        <f ca="1">NOW()</f>
        <v>41004.96718796296</v>
      </c>
    </row>
    <row r="2" spans="2:254" ht="27" thickBot="1" x14ac:dyDescent="0.4">
      <c r="O2" s="272">
        <v>52</v>
      </c>
      <c r="X2" s="71"/>
      <c r="BJ2" s="69">
        <v>5</v>
      </c>
      <c r="CO2" s="77"/>
      <c r="CP2" s="77"/>
      <c r="IP2" s="69" t="s">
        <v>111</v>
      </c>
      <c r="IT2" s="69">
        <v>0</v>
      </c>
    </row>
    <row r="3" spans="2:254" s="71" customFormat="1" ht="24.95" customHeight="1" thickBot="1" x14ac:dyDescent="0.4">
      <c r="B3" s="81" t="s">
        <v>36</v>
      </c>
      <c r="C3" s="234">
        <v>8</v>
      </c>
      <c r="O3" s="273">
        <v>52</v>
      </c>
      <c r="X3" s="232"/>
      <c r="CO3" s="69"/>
      <c r="CP3" s="175"/>
    </row>
    <row r="4" spans="2:254" ht="21.75" thickBot="1" x14ac:dyDescent="0.4">
      <c r="H4" s="69">
        <v>0</v>
      </c>
      <c r="O4" s="272">
        <v>52</v>
      </c>
      <c r="Y4" s="189"/>
      <c r="CP4" s="175"/>
    </row>
    <row r="5" spans="2:254" s="71" customFormat="1" ht="24.95" customHeight="1" thickBot="1" x14ac:dyDescent="0.4">
      <c r="B5" s="305" t="s">
        <v>37</v>
      </c>
      <c r="C5" s="303">
        <v>50</v>
      </c>
      <c r="N5" s="69"/>
      <c r="O5" s="272">
        <v>52</v>
      </c>
      <c r="Q5" s="302"/>
      <c r="R5" s="302"/>
      <c r="CO5" s="69"/>
      <c r="CP5" s="176"/>
    </row>
    <row r="6" spans="2:254" s="71" customFormat="1" ht="24.95" customHeight="1" thickBot="1" x14ac:dyDescent="0.4">
      <c r="B6" s="306"/>
      <c r="C6" s="304"/>
      <c r="F6" s="236" t="s">
        <v>101</v>
      </c>
      <c r="G6" s="237"/>
      <c r="O6" s="71">
        <v>10</v>
      </c>
      <c r="Q6" s="302"/>
      <c r="R6" s="302"/>
      <c r="Y6" s="232"/>
      <c r="BJ6" s="71">
        <v>1</v>
      </c>
      <c r="CO6" s="69"/>
      <c r="CP6" s="176"/>
    </row>
    <row r="7" spans="2:254" ht="28.5" customHeight="1" thickTop="1" thickBot="1" x14ac:dyDescent="0.4">
      <c r="H7" s="251"/>
      <c r="I7" s="314" t="s">
        <v>102</v>
      </c>
      <c r="J7" s="315"/>
      <c r="K7" s="191"/>
      <c r="L7" s="250" t="s">
        <v>103</v>
      </c>
      <c r="Q7" s="302"/>
      <c r="R7" s="302"/>
      <c r="X7" s="176"/>
      <c r="BJ7" s="192" t="s">
        <v>78</v>
      </c>
      <c r="BK7" s="69">
        <v>1</v>
      </c>
    </row>
    <row r="8" spans="2:254" ht="27.75" thickTop="1" thickBot="1" x14ac:dyDescent="0.4">
      <c r="B8" s="252" t="s">
        <v>42</v>
      </c>
      <c r="C8" s="274">
        <v>93</v>
      </c>
      <c r="F8" s="194"/>
      <c r="G8" s="235"/>
      <c r="H8" s="248" t="s">
        <v>80</v>
      </c>
      <c r="I8" s="248" t="s">
        <v>81</v>
      </c>
      <c r="J8" s="248" t="s">
        <v>82</v>
      </c>
      <c r="K8" s="195" t="s">
        <v>83</v>
      </c>
      <c r="L8" s="249" t="s">
        <v>80</v>
      </c>
      <c r="BJ8" s="193" t="s">
        <v>79</v>
      </c>
    </row>
    <row r="9" spans="2:254" ht="21.75" thickBot="1" x14ac:dyDescent="0.4">
      <c r="F9" s="196" t="s">
        <v>84</v>
      </c>
      <c r="G9" s="197"/>
      <c r="H9" s="198">
        <v>1.6870000000000001</v>
      </c>
      <c r="I9" s="198">
        <v>1.6910000000000001</v>
      </c>
      <c r="J9" s="198">
        <v>1850</v>
      </c>
      <c r="K9" s="199">
        <v>5200</v>
      </c>
      <c r="L9" s="238"/>
      <c r="Q9" s="72"/>
      <c r="X9" s="182"/>
    </row>
    <row r="10" spans="2:254" ht="21.75" thickBot="1" x14ac:dyDescent="0.4">
      <c r="B10" s="243" t="s">
        <v>46</v>
      </c>
      <c r="C10" s="245">
        <v>1.83</v>
      </c>
      <c r="F10" s="196" t="s">
        <v>85</v>
      </c>
      <c r="G10" s="200"/>
      <c r="H10" s="310">
        <v>3.1</v>
      </c>
      <c r="I10" s="311"/>
      <c r="J10" s="311"/>
      <c r="K10" s="312"/>
      <c r="L10" s="239">
        <v>168</v>
      </c>
    </row>
    <row r="11" spans="2:254" ht="21.75" thickBot="1" x14ac:dyDescent="0.4">
      <c r="B11" s="80"/>
      <c r="C11" s="80" t="s">
        <v>107</v>
      </c>
      <c r="F11" s="196" t="s">
        <v>86</v>
      </c>
      <c r="G11" s="197"/>
      <c r="H11" s="201">
        <v>3.11</v>
      </c>
      <c r="I11" s="201">
        <v>3.12</v>
      </c>
      <c r="J11" s="201">
        <v>3.11</v>
      </c>
      <c r="K11" s="202">
        <v>3.125</v>
      </c>
      <c r="L11" s="238"/>
      <c r="IP11" s="69">
        <v>100</v>
      </c>
    </row>
    <row r="12" spans="2:254" ht="21.75" thickBot="1" x14ac:dyDescent="0.4">
      <c r="B12" s="243" t="s">
        <v>47</v>
      </c>
      <c r="C12" s="246">
        <v>1</v>
      </c>
      <c r="F12" s="196"/>
      <c r="G12" s="203"/>
      <c r="L12" s="240"/>
    </row>
    <row r="13" spans="2:254" ht="21.75" thickBot="1" x14ac:dyDescent="0.4">
      <c r="B13" s="108"/>
      <c r="C13" s="109"/>
      <c r="F13" s="204" t="s">
        <v>87</v>
      </c>
      <c r="G13" s="205"/>
      <c r="H13" s="208">
        <f>(H9/$H$10)*H11</f>
        <v>1.6924419354838709</v>
      </c>
      <c r="I13" s="208">
        <f>(I9/$H$10)*I11</f>
        <v>1.7019096774193549</v>
      </c>
      <c r="J13" s="209">
        <f>(J9*$H$10)/J11</f>
        <v>1844.0514469453376</v>
      </c>
      <c r="K13" s="210">
        <f>(K9/$H$10)*K11</f>
        <v>5241.9354838709669</v>
      </c>
      <c r="L13" s="241">
        <v>1.68</v>
      </c>
    </row>
    <row r="14" spans="2:254" ht="27.75" thickTop="1" thickBot="1" x14ac:dyDescent="0.4">
      <c r="B14" s="243" t="s">
        <v>57</v>
      </c>
      <c r="C14" s="244">
        <v>1.273148148148148E-4</v>
      </c>
      <c r="E14" s="176"/>
      <c r="K14" s="176"/>
    </row>
    <row r="15" spans="2:254" ht="21.75" thickBot="1" x14ac:dyDescent="0.4">
      <c r="G15" s="313" t="s">
        <v>88</v>
      </c>
      <c r="H15" s="313"/>
      <c r="I15" s="313"/>
      <c r="J15" s="313"/>
    </row>
    <row r="16" spans="2:254" ht="21.75" thickBot="1" x14ac:dyDescent="0.4">
      <c r="B16" s="243" t="s">
        <v>91</v>
      </c>
      <c r="C16" s="247" t="s">
        <v>109</v>
      </c>
      <c r="F16" s="206"/>
      <c r="K16" s="207"/>
    </row>
    <row r="17" spans="2:15" x14ac:dyDescent="0.35">
      <c r="C17" s="3"/>
      <c r="F17" s="307" t="s">
        <v>77</v>
      </c>
      <c r="G17" s="308"/>
      <c r="H17" s="309"/>
      <c r="J17" s="307" t="s">
        <v>78</v>
      </c>
      <c r="K17" s="308"/>
      <c r="L17" s="309"/>
      <c r="O17" s="69">
        <v>0</v>
      </c>
    </row>
    <row r="18" spans="2:15" ht="21.75" thickBot="1" x14ac:dyDescent="0.4">
      <c r="F18" s="186" t="s">
        <v>104</v>
      </c>
      <c r="G18" s="187" t="s">
        <v>105</v>
      </c>
      <c r="H18" s="188" t="s">
        <v>106</v>
      </c>
      <c r="J18" s="186" t="s">
        <v>104</v>
      </c>
      <c r="K18" s="187" t="s">
        <v>105</v>
      </c>
      <c r="L18" s="188" t="s">
        <v>106</v>
      </c>
    </row>
    <row r="19" spans="2:15" ht="21.75" thickBot="1" x14ac:dyDescent="0.4">
      <c r="B19" s="183" t="s">
        <v>68</v>
      </c>
      <c r="C19" s="184">
        <f>IF($BK$7=1,($C$16+(F19&amp;":"&amp;G19&amp;":"&amp;H19)),($C$16+(C16+(F19&amp;":"&amp;G19&amp;":"&amp;H19))))</f>
        <v>40982.920254629629</v>
      </c>
      <c r="E19" s="183" t="s">
        <v>69</v>
      </c>
      <c r="F19" s="233">
        <v>22</v>
      </c>
      <c r="G19" s="233">
        <v>5</v>
      </c>
      <c r="H19" s="233">
        <v>10</v>
      </c>
      <c r="I19" s="185" t="s">
        <v>43</v>
      </c>
      <c r="J19" s="233"/>
      <c r="K19" s="233"/>
      <c r="L19" s="233"/>
    </row>
    <row r="20" spans="2:15" ht="21.75" thickBot="1" x14ac:dyDescent="0.4">
      <c r="B20" s="177" t="s">
        <v>44</v>
      </c>
      <c r="C20" s="184" t="e">
        <f>IF($BK$7=1,(C19+(J19&amp;":"&amp;K19&amp;":"&amp;L19)),IF((F20&lt;F19),(($C$16+1)+(F20&amp;":"&amp;G20&amp;":"&amp;H20)),($C$16+(F20&amp;":"&amp;G20&amp;":"&amp;H20))))</f>
        <v>#VALUE!</v>
      </c>
      <c r="E20" s="177" t="s">
        <v>44</v>
      </c>
      <c r="F20" s="231"/>
      <c r="G20" s="231"/>
      <c r="H20" s="231"/>
      <c r="I20" s="185" t="s">
        <v>43</v>
      </c>
      <c r="J20" s="233"/>
      <c r="K20" s="233"/>
      <c r="L20" s="233"/>
    </row>
    <row r="21" spans="2:15" ht="21.75" thickBot="1" x14ac:dyDescent="0.4">
      <c r="B21" s="177" t="s">
        <v>45</v>
      </c>
      <c r="C21" s="184" t="e">
        <f t="shared" ref="C21:C29" si="0">IF($BK$7=1,(C20+(J20&amp;":"&amp;K20&amp;":"&amp;L20)),IF((F21&lt;F20),(($C$16+1)+(F21&amp;":"&amp;G21&amp;":"&amp;H21)),($C$16+(F21&amp;":"&amp;G21&amp;":"&amp;H21))))</f>
        <v>#VALUE!</v>
      </c>
      <c r="E21" s="177" t="s">
        <v>45</v>
      </c>
      <c r="F21" s="231"/>
      <c r="G21" s="231"/>
      <c r="H21" s="231"/>
      <c r="I21" s="185" t="s">
        <v>43</v>
      </c>
      <c r="J21" s="233"/>
      <c r="K21" s="233"/>
      <c r="L21" s="233"/>
    </row>
    <row r="22" spans="2:15" ht="21.75" thickBot="1" x14ac:dyDescent="0.4">
      <c r="B22" s="177" t="s">
        <v>67</v>
      </c>
      <c r="C22" s="184" t="e">
        <f t="shared" si="0"/>
        <v>#VALUE!</v>
      </c>
      <c r="E22" s="177" t="s">
        <v>67</v>
      </c>
      <c r="F22" s="231"/>
      <c r="G22" s="231"/>
      <c r="H22" s="231"/>
      <c r="I22" s="185" t="s">
        <v>43</v>
      </c>
      <c r="J22" s="233"/>
      <c r="K22" s="233"/>
      <c r="L22" s="233"/>
    </row>
    <row r="23" spans="2:15" ht="21.75" thickBot="1" x14ac:dyDescent="0.4">
      <c r="B23" s="177" t="s">
        <v>70</v>
      </c>
      <c r="C23" s="184" t="e">
        <f t="shared" si="0"/>
        <v>#VALUE!</v>
      </c>
      <c r="E23" s="177" t="s">
        <v>70</v>
      </c>
      <c r="F23" s="231"/>
      <c r="G23" s="231"/>
      <c r="H23" s="231"/>
      <c r="I23" s="185" t="s">
        <v>43</v>
      </c>
      <c r="J23" s="233"/>
      <c r="K23" s="233"/>
      <c r="L23" s="233"/>
    </row>
    <row r="24" spans="2:15" ht="21.75" thickBot="1" x14ac:dyDescent="0.4">
      <c r="B24" s="177" t="s">
        <v>71</v>
      </c>
      <c r="C24" s="184" t="e">
        <f t="shared" si="0"/>
        <v>#VALUE!</v>
      </c>
      <c r="E24" s="177" t="s">
        <v>71</v>
      </c>
      <c r="F24" s="231"/>
      <c r="G24" s="231"/>
      <c r="H24" s="231"/>
      <c r="I24" s="185" t="s">
        <v>43</v>
      </c>
      <c r="J24" s="233"/>
      <c r="K24" s="233"/>
      <c r="L24" s="233"/>
    </row>
    <row r="25" spans="2:15" ht="21.75" thickBot="1" x14ac:dyDescent="0.4">
      <c r="B25" s="177" t="s">
        <v>72</v>
      </c>
      <c r="C25" s="184" t="e">
        <f t="shared" si="0"/>
        <v>#VALUE!</v>
      </c>
      <c r="E25" s="177" t="s">
        <v>72</v>
      </c>
      <c r="F25" s="231"/>
      <c r="G25" s="231"/>
      <c r="H25" s="231"/>
      <c r="I25" s="185" t="s">
        <v>43</v>
      </c>
      <c r="J25" s="233"/>
      <c r="K25" s="233"/>
      <c r="L25" s="233"/>
    </row>
    <row r="26" spans="2:15" ht="21.75" thickBot="1" x14ac:dyDescent="0.4">
      <c r="B26" s="177" t="s">
        <v>73</v>
      </c>
      <c r="C26" s="184" t="e">
        <f t="shared" si="0"/>
        <v>#VALUE!</v>
      </c>
      <c r="E26" s="177" t="s">
        <v>73</v>
      </c>
      <c r="F26" s="231"/>
      <c r="G26" s="231"/>
      <c r="H26" s="231"/>
      <c r="I26" s="185" t="s">
        <v>43</v>
      </c>
      <c r="J26" s="233"/>
      <c r="K26" s="233"/>
      <c r="L26" s="233"/>
    </row>
    <row r="27" spans="2:15" ht="21.75" thickBot="1" x14ac:dyDescent="0.4">
      <c r="B27" s="177" t="s">
        <v>74</v>
      </c>
      <c r="C27" s="184" t="e">
        <f t="shared" si="0"/>
        <v>#VALUE!</v>
      </c>
      <c r="E27" s="177" t="s">
        <v>74</v>
      </c>
      <c r="F27" s="231"/>
      <c r="G27" s="231"/>
      <c r="H27" s="231"/>
      <c r="I27" s="185" t="s">
        <v>43</v>
      </c>
      <c r="J27" s="233"/>
      <c r="K27" s="233"/>
      <c r="L27" s="233"/>
    </row>
    <row r="28" spans="2:15" ht="21.75" thickBot="1" x14ac:dyDescent="0.4">
      <c r="B28" s="177" t="s">
        <v>75</v>
      </c>
      <c r="C28" s="184" t="e">
        <f t="shared" si="0"/>
        <v>#VALUE!</v>
      </c>
      <c r="E28" s="177" t="s">
        <v>75</v>
      </c>
      <c r="F28" s="231"/>
      <c r="G28" s="231"/>
      <c r="H28" s="231"/>
      <c r="I28" s="185" t="s">
        <v>43</v>
      </c>
      <c r="J28" s="233"/>
      <c r="K28" s="233"/>
      <c r="L28" s="233"/>
    </row>
    <row r="29" spans="2:15" ht="21.75" thickBot="1" x14ac:dyDescent="0.4">
      <c r="B29" s="177" t="s">
        <v>76</v>
      </c>
      <c r="C29" s="184" t="e">
        <f t="shared" si="0"/>
        <v>#VALUE!</v>
      </c>
      <c r="E29" s="177" t="s">
        <v>76</v>
      </c>
      <c r="F29" s="231"/>
      <c r="G29" s="231"/>
      <c r="H29" s="231"/>
      <c r="I29" s="185" t="s">
        <v>43</v>
      </c>
      <c r="J29" s="233"/>
      <c r="K29" s="233"/>
      <c r="L29" s="233"/>
    </row>
    <row r="30" spans="2:15" ht="21.75" thickBot="1" x14ac:dyDescent="0.4">
      <c r="B30" s="177" t="s">
        <v>96</v>
      </c>
      <c r="C30" s="184" t="e">
        <f>IF($BK$7=1,(C29+(J29&amp;":"&amp;K29&amp;":"&amp;L29)),IF((F30&lt;F29),(($C$16+1)+(F30&amp;":"&amp;G30&amp;":"&amp;H30)),($C$16+(F30&amp;":"&amp;G30&amp;":"&amp;H30))))</f>
        <v>#VALUE!</v>
      </c>
      <c r="E30" s="177" t="s">
        <v>96</v>
      </c>
      <c r="F30" s="231"/>
      <c r="G30" s="231"/>
      <c r="H30" s="231"/>
      <c r="I30" s="185" t="s">
        <v>43</v>
      </c>
      <c r="J30" s="231"/>
      <c r="K30" s="231"/>
      <c r="L30" s="231"/>
    </row>
    <row r="31" spans="2:15" ht="21.75" thickBot="1" x14ac:dyDescent="0.4">
      <c r="B31" s="177" t="s">
        <v>97</v>
      </c>
      <c r="C31" s="184" t="e">
        <f>IF($BK$7=1,(C30+(J30&amp;":"&amp;K30&amp;":"&amp;L30)),IF((F31&lt;F30),(($C$16+1)+(F31&amp;":"&amp;G31&amp;":"&amp;H31)),($C$16+(F31&amp;":"&amp;G31&amp;":"&amp;H31))))</f>
        <v>#VALUE!</v>
      </c>
      <c r="E31" s="177" t="s">
        <v>97</v>
      </c>
      <c r="F31" s="231"/>
      <c r="G31" s="231"/>
      <c r="H31" s="231"/>
      <c r="I31" s="185" t="s">
        <v>43</v>
      </c>
      <c r="J31" s="231"/>
      <c r="K31" s="231"/>
      <c r="L31" s="231"/>
    </row>
    <row r="32" spans="2:15" ht="21.75" thickBot="1" x14ac:dyDescent="0.4">
      <c r="B32" s="177" t="s">
        <v>98</v>
      </c>
      <c r="C32" s="184" t="e">
        <f>IF($BK$7=1,(C31+(J31&amp;":"&amp;K31&amp;":"&amp;L31)),IF((F32&lt;F31),(($C$16+1)+(F32&amp;":"&amp;G32&amp;":"&amp;H32)),($C$16+(F32&amp;":"&amp;G32&amp;":"&amp;H32))))</f>
        <v>#VALUE!</v>
      </c>
      <c r="E32" s="177" t="s">
        <v>98</v>
      </c>
      <c r="F32" s="231"/>
      <c r="G32" s="231"/>
      <c r="H32" s="231"/>
      <c r="I32" s="185" t="s">
        <v>43</v>
      </c>
      <c r="J32" s="231"/>
      <c r="K32" s="231"/>
      <c r="L32" s="231"/>
    </row>
    <row r="33" spans="2:12" ht="21.75" thickBot="1" x14ac:dyDescent="0.4">
      <c r="B33" s="177" t="s">
        <v>99</v>
      </c>
      <c r="C33" s="184" t="e">
        <f>IF($BK$7=1,(C32+(J32&amp;":"&amp;K32&amp;":"&amp;L32)),IF((F33&lt;F32),(($C$16+1)+(F33&amp;":"&amp;G33&amp;":"&amp;H33)),($C$16+(F33&amp;":"&amp;G33&amp;":"&amp;H33))))</f>
        <v>#VALUE!</v>
      </c>
      <c r="E33" s="177" t="s">
        <v>99</v>
      </c>
      <c r="F33" s="231"/>
      <c r="G33" s="231"/>
      <c r="H33" s="231"/>
      <c r="I33" s="185" t="s">
        <v>43</v>
      </c>
      <c r="J33" s="231"/>
      <c r="K33" s="231"/>
      <c r="L33" s="231"/>
    </row>
    <row r="34" spans="2:12" ht="21.75" thickBot="1" x14ac:dyDescent="0.4">
      <c r="B34" s="177" t="s">
        <v>100</v>
      </c>
      <c r="C34" s="184" t="e">
        <f>IF($BK$7=1,(C33+(J33&amp;":"&amp;K33&amp;":"&amp;L33)),IF((F34&lt;F33),(($C$16+1)+(F34&amp;":"&amp;G34&amp;":"&amp;H34)),($C$16+(F34&amp;":"&amp;G34&amp;":"&amp;H34))))</f>
        <v>#VALUE!</v>
      </c>
      <c r="E34" s="177" t="s">
        <v>100</v>
      </c>
      <c r="F34" s="231"/>
      <c r="G34" s="231"/>
      <c r="H34" s="231"/>
      <c r="I34" s="185" t="s">
        <v>43</v>
      </c>
      <c r="J34" s="231"/>
      <c r="K34" s="231"/>
      <c r="L34" s="231"/>
    </row>
  </sheetData>
  <mergeCells count="8">
    <mergeCell ref="Q5:R7"/>
    <mergeCell ref="C5:C6"/>
    <mergeCell ref="B5:B6"/>
    <mergeCell ref="F17:H17"/>
    <mergeCell ref="J17:L17"/>
    <mergeCell ref="H10:K10"/>
    <mergeCell ref="G15:J15"/>
    <mergeCell ref="I7:J7"/>
  </mergeCells>
  <phoneticPr fontId="34" type="noConversion"/>
  <pageMargins left="0.7" right="0.7" top="0.75" bottom="0.75" header="0.3" footer="0.3"/>
  <pageSetup paperSize="9" scale="98" orientation="landscape" r:id="rId1"/>
  <headerFooter alignWithMargins="0"/>
  <drawing r:id="rId2"/>
  <legacyDrawing r:id="rId3"/>
  <oleObjects>
    <mc:AlternateContent xmlns:mc="http://schemas.openxmlformats.org/markup-compatibility/2006">
      <mc:Choice Requires="x14">
        <oleObject progId="Wordpad.Document.1" dvAspect="DVASPECT_ICON" shapeId="95249" r:id="rId4">
          <objectPr defaultSize="0" r:id="rId5">
            <anchor moveWithCells="1">
              <from>
                <xdr:col>11</xdr:col>
                <xdr:colOff>304800</xdr:colOff>
                <xdr:row>0</xdr:row>
                <xdr:rowOff>161925</xdr:rowOff>
              </from>
              <to>
                <xdr:col>13</xdr:col>
                <xdr:colOff>133350</xdr:colOff>
                <xdr:row>2</xdr:row>
                <xdr:rowOff>276225</xdr:rowOff>
              </to>
            </anchor>
          </objectPr>
        </oleObject>
      </mc:Choice>
      <mc:Fallback>
        <oleObject progId="Wordpad.Document.1" dvAspect="DVASPECT_ICON" shapeId="95249" r:id="rId4"/>
      </mc:Fallback>
    </mc:AlternateContent>
  </oleObjects>
  <controls>
    <mc:AlternateContent xmlns:mc="http://schemas.openxmlformats.org/markup-compatibility/2006">
      <mc:Choice Requires="x14">
        <control shapeId="95254" r:id="rId6" name="Control 22">
          <controlPr defaultSize="0" autoLine="0" r:id="rId7">
            <anchor moveWithCells="1">
              <from>
                <xdr:col>17</xdr:col>
                <xdr:colOff>66675</xdr:colOff>
                <xdr:row>3</xdr:row>
                <xdr:rowOff>180975</xdr:rowOff>
              </from>
              <to>
                <xdr:col>18</xdr:col>
                <xdr:colOff>190500</xdr:colOff>
                <xdr:row>5</xdr:row>
                <xdr:rowOff>123825</xdr:rowOff>
              </to>
            </anchor>
          </controlPr>
        </control>
      </mc:Choice>
      <mc:Fallback>
        <control shapeId="95254" r:id="rId6" name="Control 22"/>
      </mc:Fallback>
    </mc:AlternateContent>
    <mc:AlternateContent xmlns:mc="http://schemas.openxmlformats.org/markup-compatibility/2006">
      <mc:Choice Requires="x14">
        <control shapeId="95238" r:id="rId8" name="CommandButton5">
          <controlPr defaultSize="0" autoLine="0" r:id="rId9">
            <anchor moveWithCells="1">
              <from>
                <xdr:col>59</xdr:col>
                <xdr:colOff>266700</xdr:colOff>
                <xdr:row>33</xdr:row>
                <xdr:rowOff>66675</xdr:rowOff>
              </from>
              <to>
                <xdr:col>62</xdr:col>
                <xdr:colOff>428625</xdr:colOff>
                <xdr:row>34</xdr:row>
                <xdr:rowOff>247650</xdr:rowOff>
              </to>
            </anchor>
          </controlPr>
        </control>
      </mc:Choice>
      <mc:Fallback>
        <control shapeId="95238" r:id="rId8" name="CommandButton5"/>
      </mc:Fallback>
    </mc:AlternateContent>
    <mc:AlternateContent xmlns:mc="http://schemas.openxmlformats.org/markup-compatibility/2006">
      <mc:Choice Requires="x14">
        <control shapeId="95237" r:id="rId10" name="NETComm1">
          <controlPr autoLine="0" r:id="rId11">
            <anchor moveWithCells="1">
              <from>
                <xdr:col>14</xdr:col>
                <xdr:colOff>47625</xdr:colOff>
                <xdr:row>2</xdr:row>
                <xdr:rowOff>38100</xdr:rowOff>
              </from>
              <to>
                <xdr:col>14</xdr:col>
                <xdr:colOff>95250</xdr:colOff>
                <xdr:row>2</xdr:row>
                <xdr:rowOff>85725</xdr:rowOff>
              </to>
            </anchor>
          </controlPr>
        </control>
      </mc:Choice>
      <mc:Fallback>
        <control shapeId="95237" r:id="rId10" name="NETComm1"/>
      </mc:Fallback>
    </mc:AlternateContent>
    <mc:AlternateContent xmlns:mc="http://schemas.openxmlformats.org/markup-compatibility/2006">
      <mc:Choice Requires="x14">
        <control shapeId="95235" r:id="rId12" name="CommandButton3">
          <controlPr defaultSize="0" autoLine="0" r:id="rId13">
            <anchor moveWithCells="1">
              <from>
                <xdr:col>58</xdr:col>
                <xdr:colOff>581025</xdr:colOff>
                <xdr:row>35</xdr:row>
                <xdr:rowOff>85725</xdr:rowOff>
              </from>
              <to>
                <xdr:col>63</xdr:col>
                <xdr:colOff>47625</xdr:colOff>
                <xdr:row>37</xdr:row>
                <xdr:rowOff>47625</xdr:rowOff>
              </to>
            </anchor>
          </controlPr>
        </control>
      </mc:Choice>
      <mc:Fallback>
        <control shapeId="95235" r:id="rId12" name="CommandButton3"/>
      </mc:Fallback>
    </mc:AlternateContent>
    <mc:AlternateContent xmlns:mc="http://schemas.openxmlformats.org/markup-compatibility/2006">
      <mc:Choice Requires="x14">
        <control shapeId="95234" r:id="rId14" name="CommandButton2">
          <controlPr defaultSize="0" autoLine="0" r:id="rId15">
            <anchor moveWithCells="1">
              <from>
                <xdr:col>59</xdr:col>
                <xdr:colOff>161925</xdr:colOff>
                <xdr:row>37</xdr:row>
                <xdr:rowOff>133350</xdr:rowOff>
              </from>
              <to>
                <xdr:col>63</xdr:col>
                <xdr:colOff>238125</xdr:colOff>
                <xdr:row>39</xdr:row>
                <xdr:rowOff>95250</xdr:rowOff>
              </to>
            </anchor>
          </controlPr>
        </control>
      </mc:Choice>
      <mc:Fallback>
        <control shapeId="95234" r:id="rId14" name="CommandButton2"/>
      </mc:Fallback>
    </mc:AlternateContent>
    <mc:AlternateContent xmlns:mc="http://schemas.openxmlformats.org/markup-compatibility/2006">
      <mc:Choice Requires="x14">
        <control shapeId="95239" r:id="rId16" name="Button 7">
          <controlPr defaultSize="0" autoFill="0" autoPict="0" macro="[0]!numerodetramos">
            <anchor moveWithCells="1" sizeWithCells="1">
              <from>
                <xdr:col>6</xdr:col>
                <xdr:colOff>352425</xdr:colOff>
                <xdr:row>1</xdr:row>
                <xdr:rowOff>133350</xdr:rowOff>
              </from>
              <to>
                <xdr:col>8</xdr:col>
                <xdr:colOff>485775</xdr:colOff>
                <xdr:row>2</xdr:row>
                <xdr:rowOff>152400</xdr:rowOff>
              </to>
            </anchor>
          </controlPr>
        </control>
      </mc:Choice>
    </mc:AlternateContent>
    <mc:AlternateContent xmlns:mc="http://schemas.openxmlformats.org/markup-compatibility/2006">
      <mc:Choice Requires="x14">
        <control shapeId="95243" r:id="rId17" name="Button 11">
          <controlPr defaultSize="0" autoFill="0" autoPict="0" macro="[0]!copiartiempos">
            <anchor moveWithCells="1" sizeWithCells="1">
              <from>
                <xdr:col>6</xdr:col>
                <xdr:colOff>352425</xdr:colOff>
                <xdr:row>2</xdr:row>
                <xdr:rowOff>295275</xdr:rowOff>
              </from>
              <to>
                <xdr:col>8</xdr:col>
                <xdr:colOff>523875</xdr:colOff>
                <xdr:row>4</xdr:row>
                <xdr:rowOff>0</xdr:rowOff>
              </to>
            </anchor>
          </controlPr>
        </control>
      </mc:Choice>
    </mc:AlternateContent>
    <mc:AlternateContent xmlns:mc="http://schemas.openxmlformats.org/markup-compatibility/2006">
      <mc:Choice Requires="x14">
        <control shapeId="95247" r:id="rId18" name="Button 15">
          <controlPr defaultSize="0" print="0" autoFill="0" autoPict="0" macro="[0]!Sheet1.CommandButton4_Click">
            <anchor moveWithCells="1">
              <from>
                <xdr:col>3</xdr:col>
                <xdr:colOff>419100</xdr:colOff>
                <xdr:row>3</xdr:row>
                <xdr:rowOff>0</xdr:rowOff>
              </from>
              <to>
                <xdr:col>5</xdr:col>
                <xdr:colOff>495300</xdr:colOff>
                <xdr:row>4</xdr:row>
                <xdr:rowOff>28575</xdr:rowOff>
              </to>
            </anchor>
          </controlPr>
        </control>
      </mc:Choice>
    </mc:AlternateContent>
    <mc:AlternateContent xmlns:mc="http://schemas.openxmlformats.org/markup-compatibility/2006">
      <mc:Choice Requires="x14">
        <control shapeId="95248" r:id="rId19" name="Button 16">
          <controlPr defaultSize="0" print="0" autoFill="0" autoPict="0" macro="[0]!Sheet1.CommandButton1_Click">
            <anchor moveWithCells="1">
              <from>
                <xdr:col>3</xdr:col>
                <xdr:colOff>438150</xdr:colOff>
                <xdr:row>1</xdr:row>
                <xdr:rowOff>152400</xdr:rowOff>
              </from>
              <to>
                <xdr:col>5</xdr:col>
                <xdr:colOff>485775</xdr:colOff>
                <xdr:row>2</xdr:row>
                <xdr:rowOff>123825</xdr:rowOff>
              </to>
            </anchor>
          </controlPr>
        </control>
      </mc:Choice>
    </mc:AlternateContent>
    <mc:AlternateContent xmlns:mc="http://schemas.openxmlformats.org/markup-compatibility/2006">
      <mc:Choice Requires="x14">
        <control shapeId="95250" r:id="rId20" name="Button 18">
          <controlPr defaultSize="0" autoFill="0" autoPict="0" macro="[0]!Sheet1.calibracion">
            <anchor moveWithCells="1">
              <from>
                <xdr:col>9</xdr:col>
                <xdr:colOff>104775</xdr:colOff>
                <xdr:row>1</xdr:row>
                <xdr:rowOff>161925</xdr:rowOff>
              </from>
              <to>
                <xdr:col>11</xdr:col>
                <xdr:colOff>133350</xdr:colOff>
                <xdr:row>2</xdr:row>
                <xdr:rowOff>152400</xdr:rowOff>
              </to>
            </anchor>
          </controlPr>
        </control>
      </mc:Choice>
    </mc:AlternateContent>
    <mc:AlternateContent xmlns:mc="http://schemas.openxmlformats.org/markup-compatibility/2006">
      <mc:Choice Requires="x14">
        <control shapeId="95251" r:id="rId21" name="Button 19">
          <controlPr defaultSize="0" autoFill="0" autoPict="0" macro="[0]!Sheet1.fincalibracion">
            <anchor moveWithCells="1">
              <from>
                <xdr:col>9</xdr:col>
                <xdr:colOff>133350</xdr:colOff>
                <xdr:row>2</xdr:row>
                <xdr:rowOff>295275</xdr:rowOff>
              </from>
              <to>
                <xdr:col>11</xdr:col>
                <xdr:colOff>171450</xdr:colOff>
                <xdr:row>4</xdr:row>
                <xdr:rowOff>66675</xdr:rowOff>
              </to>
            </anchor>
          </controlPr>
        </control>
      </mc:Choice>
    </mc:AlternateContent>
    <mc:AlternateContent xmlns:mc="http://schemas.openxmlformats.org/markup-compatibility/2006">
      <mc:Choice Requires="x14">
        <control shapeId="95252" r:id="rId22" name="Drop Down 20">
          <controlPr defaultSize="0" autoLine="0" autoPict="0" macro="[0]!Sheet1.tiempos_a_sumar">
            <anchor moveWithCells="1" sizeWithCells="1">
              <from>
                <xdr:col>2</xdr:col>
                <xdr:colOff>247650</xdr:colOff>
                <xdr:row>16</xdr:row>
                <xdr:rowOff>133350</xdr:rowOff>
              </from>
              <to>
                <xdr:col>4</xdr:col>
                <xdr:colOff>466725</xdr:colOff>
                <xdr:row>17</xdr:row>
                <xdr:rowOff>152400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TR bas</vt:lpstr>
      <vt:lpstr>REGISTRO</vt:lpstr>
      <vt:lpstr>Parametros</vt:lpstr>
      <vt:lpstr>Parametros!Área_de_impresión</vt:lpstr>
      <vt:lpstr>'TR bas'!Área_de_impresión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 Angel</dc:creator>
  <cp:lastModifiedBy>Miguel Angel Martinez Diaz</cp:lastModifiedBy>
  <cp:lastPrinted>2012-02-24T14:59:08Z</cp:lastPrinted>
  <dcterms:created xsi:type="dcterms:W3CDTF">2004-08-27T23:20:55Z</dcterms:created>
  <dcterms:modified xsi:type="dcterms:W3CDTF">2012-04-05T21:12:47Z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-2053657767</vt:i4>
  </property>
  <property fmtid="{D5CDD505-2E9C-101B-9397-08002B2CF9AE}" pid="3" name="_EmailSubject">
    <vt:lpwstr>macro excel</vt:lpwstr>
  </property>
  <property fmtid="{D5CDD505-2E9C-101B-9397-08002B2CF9AE}" pid="4" name="_AuthorEmail">
    <vt:lpwstr>d.gil@covercar.es</vt:lpwstr>
  </property>
  <property fmtid="{D5CDD505-2E9C-101B-9397-08002B2CF9AE}" pid="5" name="_AuthorEmailDisplayName">
    <vt:lpwstr>David Gil Frey</vt:lpwstr>
  </property>
  <property fmtid="{D5CDD505-2E9C-101B-9397-08002B2CF9AE}" pid="6" name="_PreviousAdHocReviewCycleID">
    <vt:i4>684258839</vt:i4>
  </property>
  <property fmtid="{D5CDD505-2E9C-101B-9397-08002B2CF9AE}" pid="7" name="_ReviewingToolsShownOnce">
    <vt:lpwstr/>
  </property>
</Properties>
</file>